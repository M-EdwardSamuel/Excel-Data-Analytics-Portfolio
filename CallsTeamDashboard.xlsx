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Edward Samuel\OneDrive\Documents\Calls Team Data Report\"/>
    </mc:Choice>
  </mc:AlternateContent>
  <xr:revisionPtr revIDLastSave="0" documentId="13_ncr:1_{86F7F8B1-C5B9-4C59-8DD5-3981D2DB8BEA}" xr6:coauthVersionLast="47" xr6:coauthVersionMax="47" xr10:uidLastSave="{00000000-0000-0000-0000-000000000000}"/>
  <workbookProtection lockStructure="1"/>
  <bookViews>
    <workbookView showHorizontalScroll="0" showVerticalScroll="0" xWindow="-108" yWindow="-108" windowWidth="23256" windowHeight="12456" xr2:uid="{B0E82480-BFAF-4AF4-AB95-7C199A3F1D2E}"/>
  </bookViews>
  <sheets>
    <sheet name="Dashboard" sheetId="15" r:id="rId1"/>
    <sheet name="MIS Report" sheetId="13" r:id="rId2"/>
    <sheet name="Pivot Table" sheetId="14" r:id="rId3"/>
    <sheet name="Calls Report" sheetId="1" r:id="rId4"/>
    <sheet name="Login Report(WFM)" sheetId="2" r:id="rId5"/>
    <sheet name="Attendence(HR)" sheetId="3" r:id="rId6"/>
    <sheet name="Cutomer Feedback" sheetId="4" r:id="rId7"/>
    <sheet name="Teams Detail" sheetId="5" r:id="rId8"/>
  </sheets>
  <definedNames>
    <definedName name="Slicer_Attendance">#N/A</definedName>
    <definedName name="Slicer_Feedback">#N/A</definedName>
    <definedName name="Slicer_Team">#N/A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3" l="1"/>
  <c r="B4" i="13"/>
  <c r="B3" i="13"/>
  <c r="B2" i="13"/>
  <c r="J14" i="13"/>
  <c r="J22" i="13"/>
  <c r="J30" i="13"/>
  <c r="J38" i="13"/>
  <c r="J46" i="13"/>
  <c r="J54" i="13"/>
  <c r="C8" i="13"/>
  <c r="D8" i="13"/>
  <c r="E8" i="13"/>
  <c r="F8" i="13"/>
  <c r="G8" i="13"/>
  <c r="J8" i="13" s="1"/>
  <c r="H8" i="13"/>
  <c r="I8" i="13"/>
  <c r="C9" i="13"/>
  <c r="D9" i="13"/>
  <c r="E9" i="13"/>
  <c r="F9" i="13"/>
  <c r="G9" i="13"/>
  <c r="J9" i="13" s="1"/>
  <c r="H9" i="13"/>
  <c r="I9" i="13"/>
  <c r="C10" i="13"/>
  <c r="D10" i="13"/>
  <c r="E10" i="13"/>
  <c r="F10" i="13"/>
  <c r="G10" i="13"/>
  <c r="J10" i="13" s="1"/>
  <c r="H10" i="13"/>
  <c r="I10" i="13"/>
  <c r="C11" i="13"/>
  <c r="D11" i="13"/>
  <c r="E11" i="13"/>
  <c r="F11" i="13"/>
  <c r="G11" i="13"/>
  <c r="J11" i="13" s="1"/>
  <c r="H11" i="13"/>
  <c r="I11" i="13"/>
  <c r="C12" i="13"/>
  <c r="D12" i="13"/>
  <c r="E12" i="13"/>
  <c r="F12" i="13"/>
  <c r="G12" i="13"/>
  <c r="J12" i="13" s="1"/>
  <c r="H12" i="13"/>
  <c r="I12" i="13"/>
  <c r="C13" i="13"/>
  <c r="D13" i="13"/>
  <c r="E13" i="13"/>
  <c r="F13" i="13"/>
  <c r="G13" i="13"/>
  <c r="J13" i="13" s="1"/>
  <c r="H13" i="13"/>
  <c r="I13" i="13"/>
  <c r="C14" i="13"/>
  <c r="D14" i="13"/>
  <c r="E14" i="13"/>
  <c r="F14" i="13"/>
  <c r="G14" i="13"/>
  <c r="H14" i="13"/>
  <c r="I14" i="13"/>
  <c r="C15" i="13"/>
  <c r="D15" i="13"/>
  <c r="E15" i="13"/>
  <c r="F15" i="13"/>
  <c r="G15" i="13"/>
  <c r="J15" i="13" s="1"/>
  <c r="H15" i="13"/>
  <c r="I15" i="13"/>
  <c r="C16" i="13"/>
  <c r="D16" i="13"/>
  <c r="E16" i="13"/>
  <c r="F16" i="13"/>
  <c r="G16" i="13"/>
  <c r="J16" i="13" s="1"/>
  <c r="H16" i="13"/>
  <c r="I16" i="13"/>
  <c r="C17" i="13"/>
  <c r="D17" i="13"/>
  <c r="E17" i="13"/>
  <c r="F17" i="13"/>
  <c r="G17" i="13"/>
  <c r="J17" i="13" s="1"/>
  <c r="H17" i="13"/>
  <c r="I17" i="13"/>
  <c r="C18" i="13"/>
  <c r="D18" i="13"/>
  <c r="E18" i="13"/>
  <c r="F18" i="13"/>
  <c r="G18" i="13"/>
  <c r="J18" i="13" s="1"/>
  <c r="H18" i="13"/>
  <c r="I18" i="13"/>
  <c r="C19" i="13"/>
  <c r="D19" i="13"/>
  <c r="E19" i="13"/>
  <c r="F19" i="13"/>
  <c r="G19" i="13"/>
  <c r="J19" i="13" s="1"/>
  <c r="H19" i="13"/>
  <c r="I19" i="13"/>
  <c r="C20" i="13"/>
  <c r="D20" i="13"/>
  <c r="E20" i="13"/>
  <c r="F20" i="13"/>
  <c r="G20" i="13"/>
  <c r="J20" i="13" s="1"/>
  <c r="H20" i="13"/>
  <c r="I20" i="13"/>
  <c r="C21" i="13"/>
  <c r="D21" i="13"/>
  <c r="E21" i="13"/>
  <c r="F21" i="13"/>
  <c r="G21" i="13"/>
  <c r="J21" i="13" s="1"/>
  <c r="H21" i="13"/>
  <c r="I21" i="13"/>
  <c r="C22" i="13"/>
  <c r="D22" i="13"/>
  <c r="E22" i="13"/>
  <c r="F22" i="13"/>
  <c r="G22" i="13"/>
  <c r="H22" i="13"/>
  <c r="I22" i="13"/>
  <c r="C23" i="13"/>
  <c r="D23" i="13"/>
  <c r="E23" i="13"/>
  <c r="F23" i="13"/>
  <c r="G23" i="13"/>
  <c r="J23" i="13" s="1"/>
  <c r="H23" i="13"/>
  <c r="I23" i="13"/>
  <c r="C24" i="13"/>
  <c r="D24" i="13"/>
  <c r="E24" i="13"/>
  <c r="F24" i="13"/>
  <c r="G24" i="13"/>
  <c r="J24" i="13" s="1"/>
  <c r="H24" i="13"/>
  <c r="I24" i="13"/>
  <c r="C25" i="13"/>
  <c r="D25" i="13"/>
  <c r="E25" i="13"/>
  <c r="F25" i="13"/>
  <c r="G25" i="13"/>
  <c r="J25" i="13" s="1"/>
  <c r="H25" i="13"/>
  <c r="I25" i="13"/>
  <c r="C26" i="13"/>
  <c r="D26" i="13"/>
  <c r="E26" i="13"/>
  <c r="F26" i="13"/>
  <c r="G26" i="13"/>
  <c r="J26" i="13" s="1"/>
  <c r="H26" i="13"/>
  <c r="I26" i="13"/>
  <c r="C27" i="13"/>
  <c r="D27" i="13"/>
  <c r="E27" i="13"/>
  <c r="F27" i="13"/>
  <c r="G27" i="13"/>
  <c r="J27" i="13" s="1"/>
  <c r="H27" i="13"/>
  <c r="I27" i="13"/>
  <c r="C28" i="13"/>
  <c r="D28" i="13"/>
  <c r="E28" i="13"/>
  <c r="F28" i="13"/>
  <c r="G28" i="13"/>
  <c r="J28" i="13" s="1"/>
  <c r="H28" i="13"/>
  <c r="I28" i="13"/>
  <c r="C29" i="13"/>
  <c r="D29" i="13"/>
  <c r="E29" i="13"/>
  <c r="F29" i="13"/>
  <c r="G29" i="13"/>
  <c r="J29" i="13" s="1"/>
  <c r="H29" i="13"/>
  <c r="I29" i="13"/>
  <c r="C30" i="13"/>
  <c r="D30" i="13"/>
  <c r="E30" i="13"/>
  <c r="F30" i="13"/>
  <c r="G30" i="13"/>
  <c r="H30" i="13"/>
  <c r="I30" i="13"/>
  <c r="C31" i="13"/>
  <c r="D31" i="13"/>
  <c r="E31" i="13"/>
  <c r="F31" i="13"/>
  <c r="G31" i="13"/>
  <c r="J31" i="13" s="1"/>
  <c r="H31" i="13"/>
  <c r="I31" i="13"/>
  <c r="C32" i="13"/>
  <c r="D32" i="13"/>
  <c r="E32" i="13"/>
  <c r="F32" i="13"/>
  <c r="G32" i="13"/>
  <c r="J32" i="13" s="1"/>
  <c r="H32" i="13"/>
  <c r="I32" i="13"/>
  <c r="C33" i="13"/>
  <c r="D33" i="13"/>
  <c r="E33" i="13"/>
  <c r="F33" i="13"/>
  <c r="G33" i="13"/>
  <c r="J33" i="13" s="1"/>
  <c r="H33" i="13"/>
  <c r="I33" i="13"/>
  <c r="C34" i="13"/>
  <c r="D34" i="13"/>
  <c r="E34" i="13"/>
  <c r="F34" i="13"/>
  <c r="G34" i="13"/>
  <c r="J34" i="13" s="1"/>
  <c r="H34" i="13"/>
  <c r="I34" i="13"/>
  <c r="C35" i="13"/>
  <c r="D35" i="13"/>
  <c r="E35" i="13"/>
  <c r="F35" i="13"/>
  <c r="G35" i="13"/>
  <c r="J35" i="13" s="1"/>
  <c r="H35" i="13"/>
  <c r="I35" i="13"/>
  <c r="C36" i="13"/>
  <c r="D36" i="13"/>
  <c r="E36" i="13"/>
  <c r="F36" i="13"/>
  <c r="G36" i="13"/>
  <c r="J36" i="13" s="1"/>
  <c r="H36" i="13"/>
  <c r="I36" i="13"/>
  <c r="C37" i="13"/>
  <c r="D37" i="13"/>
  <c r="E37" i="13"/>
  <c r="F37" i="13"/>
  <c r="G37" i="13"/>
  <c r="J37" i="13" s="1"/>
  <c r="H37" i="13"/>
  <c r="I37" i="13"/>
  <c r="C38" i="13"/>
  <c r="D38" i="13"/>
  <c r="E38" i="13"/>
  <c r="F38" i="13"/>
  <c r="G38" i="13"/>
  <c r="H38" i="13"/>
  <c r="I38" i="13"/>
  <c r="C39" i="13"/>
  <c r="D39" i="13"/>
  <c r="E39" i="13"/>
  <c r="F39" i="13"/>
  <c r="G39" i="13"/>
  <c r="J39" i="13" s="1"/>
  <c r="H39" i="13"/>
  <c r="I39" i="13"/>
  <c r="C40" i="13"/>
  <c r="D40" i="13"/>
  <c r="E40" i="13"/>
  <c r="F40" i="13"/>
  <c r="G40" i="13"/>
  <c r="J40" i="13" s="1"/>
  <c r="H40" i="13"/>
  <c r="I40" i="13"/>
  <c r="C41" i="13"/>
  <c r="D41" i="13"/>
  <c r="E41" i="13"/>
  <c r="F41" i="13"/>
  <c r="G41" i="13"/>
  <c r="J41" i="13" s="1"/>
  <c r="H41" i="13"/>
  <c r="I41" i="13"/>
  <c r="C42" i="13"/>
  <c r="D42" i="13"/>
  <c r="E42" i="13"/>
  <c r="F42" i="13"/>
  <c r="G42" i="13"/>
  <c r="J42" i="13" s="1"/>
  <c r="H42" i="13"/>
  <c r="I42" i="13"/>
  <c r="C43" i="13"/>
  <c r="D43" i="13"/>
  <c r="E43" i="13"/>
  <c r="F43" i="13"/>
  <c r="G43" i="13"/>
  <c r="J43" i="13" s="1"/>
  <c r="H43" i="13"/>
  <c r="I43" i="13"/>
  <c r="C44" i="13"/>
  <c r="D44" i="13"/>
  <c r="E44" i="13"/>
  <c r="F44" i="13"/>
  <c r="G44" i="13"/>
  <c r="J44" i="13" s="1"/>
  <c r="H44" i="13"/>
  <c r="I44" i="13"/>
  <c r="C45" i="13"/>
  <c r="D45" i="13"/>
  <c r="E45" i="13"/>
  <c r="F45" i="13"/>
  <c r="G45" i="13"/>
  <c r="J45" i="13" s="1"/>
  <c r="H45" i="13"/>
  <c r="I45" i="13"/>
  <c r="C46" i="13"/>
  <c r="D46" i="13"/>
  <c r="E46" i="13"/>
  <c r="F46" i="13"/>
  <c r="G46" i="13"/>
  <c r="H46" i="13"/>
  <c r="I46" i="13"/>
  <c r="C47" i="13"/>
  <c r="D47" i="13"/>
  <c r="E47" i="13"/>
  <c r="F47" i="13"/>
  <c r="G47" i="13"/>
  <c r="J47" i="13" s="1"/>
  <c r="H47" i="13"/>
  <c r="I47" i="13"/>
  <c r="C48" i="13"/>
  <c r="D48" i="13"/>
  <c r="E48" i="13"/>
  <c r="F48" i="13"/>
  <c r="G48" i="13"/>
  <c r="J48" i="13" s="1"/>
  <c r="H48" i="13"/>
  <c r="I48" i="13"/>
  <c r="C49" i="13"/>
  <c r="D49" i="13"/>
  <c r="E49" i="13"/>
  <c r="F49" i="13"/>
  <c r="G49" i="13"/>
  <c r="J49" i="13" s="1"/>
  <c r="H49" i="13"/>
  <c r="I49" i="13"/>
  <c r="C50" i="13"/>
  <c r="D50" i="13"/>
  <c r="E50" i="13"/>
  <c r="F50" i="13"/>
  <c r="G50" i="13"/>
  <c r="J50" i="13" s="1"/>
  <c r="H50" i="13"/>
  <c r="I50" i="13"/>
  <c r="C51" i="13"/>
  <c r="D51" i="13"/>
  <c r="E51" i="13"/>
  <c r="F51" i="13"/>
  <c r="G51" i="13"/>
  <c r="J51" i="13" s="1"/>
  <c r="H51" i="13"/>
  <c r="I51" i="13"/>
  <c r="C52" i="13"/>
  <c r="D52" i="13"/>
  <c r="E52" i="13"/>
  <c r="F52" i="13"/>
  <c r="G52" i="13"/>
  <c r="J52" i="13" s="1"/>
  <c r="H52" i="13"/>
  <c r="I52" i="13"/>
  <c r="C53" i="13"/>
  <c r="D53" i="13"/>
  <c r="E53" i="13"/>
  <c r="F53" i="13"/>
  <c r="G53" i="13"/>
  <c r="J53" i="13" s="1"/>
  <c r="H53" i="13"/>
  <c r="I53" i="13"/>
  <c r="C54" i="13"/>
  <c r="D54" i="13"/>
  <c r="E54" i="13"/>
  <c r="F54" i="13"/>
  <c r="G54" i="13"/>
  <c r="H54" i="13"/>
  <c r="I54" i="13"/>
  <c r="C55" i="13"/>
  <c r="D55" i="13"/>
  <c r="E55" i="13"/>
  <c r="F55" i="13"/>
  <c r="G55" i="13"/>
  <c r="J55" i="13" s="1"/>
  <c r="H55" i="13"/>
  <c r="I55" i="13"/>
  <c r="C56" i="13"/>
  <c r="D56" i="13"/>
  <c r="E56" i="13"/>
  <c r="F56" i="13"/>
  <c r="G56" i="13"/>
  <c r="J56" i="13" s="1"/>
  <c r="H56" i="13"/>
  <c r="I56" i="13"/>
  <c r="I7" i="13"/>
  <c r="H7" i="13"/>
  <c r="G7" i="13"/>
  <c r="J7" i="13" s="1"/>
  <c r="F7" i="13"/>
  <c r="E7" i="13"/>
  <c r="D7" i="13"/>
  <c r="C7" i="13"/>
</calcChain>
</file>

<file path=xl/sharedStrings.xml><?xml version="1.0" encoding="utf-8"?>
<sst xmlns="http://schemas.openxmlformats.org/spreadsheetml/2006/main" count="327" uniqueCount="93">
  <si>
    <t>Emp ID</t>
  </si>
  <si>
    <t>Customer Feedback</t>
  </si>
  <si>
    <t>Positive</t>
  </si>
  <si>
    <t>Negative</t>
  </si>
  <si>
    <t>Neutral</t>
  </si>
  <si>
    <t>Attendance</t>
  </si>
  <si>
    <t>Present</t>
  </si>
  <si>
    <t>Week Off</t>
  </si>
  <si>
    <t>Absent</t>
  </si>
  <si>
    <t>Planned Leave</t>
  </si>
  <si>
    <t>Login Hours</t>
  </si>
  <si>
    <t>Break</t>
  </si>
  <si>
    <t>AHT</t>
  </si>
  <si>
    <t>Calls Handled</t>
  </si>
  <si>
    <t>Name</t>
  </si>
  <si>
    <t>Team</t>
  </si>
  <si>
    <t>Rahul</t>
  </si>
  <si>
    <t>Team A</t>
  </si>
  <si>
    <t>Amit</t>
  </si>
  <si>
    <t>Neha</t>
  </si>
  <si>
    <t>Priya</t>
  </si>
  <si>
    <t>Rohit</t>
  </si>
  <si>
    <t>Sonia</t>
  </si>
  <si>
    <t>Vikas</t>
  </si>
  <si>
    <t>Karan</t>
  </si>
  <si>
    <t>Anjali</t>
  </si>
  <si>
    <t>Deepak</t>
  </si>
  <si>
    <t>Manoj</t>
  </si>
  <si>
    <t>Pooja</t>
  </si>
  <si>
    <t>Sachin</t>
  </si>
  <si>
    <t>Team B</t>
  </si>
  <si>
    <t>Kavita</t>
  </si>
  <si>
    <t>Arjun</t>
  </si>
  <si>
    <t>Nisha</t>
  </si>
  <si>
    <t>Ramesh</t>
  </si>
  <si>
    <t>Seema</t>
  </si>
  <si>
    <t>Vinay</t>
  </si>
  <si>
    <t>Tina</t>
  </si>
  <si>
    <t>Sunil</t>
  </si>
  <si>
    <t>Payal</t>
  </si>
  <si>
    <t>Ajay</t>
  </si>
  <si>
    <t>Ritu</t>
  </si>
  <si>
    <t>Naveen</t>
  </si>
  <si>
    <t>Team C</t>
  </si>
  <si>
    <t>Komal</t>
  </si>
  <si>
    <t>Alok</t>
  </si>
  <si>
    <t>Meena</t>
  </si>
  <si>
    <t>Gaurav</t>
  </si>
  <si>
    <t>Rekha</t>
  </si>
  <si>
    <t>Mohit</t>
  </si>
  <si>
    <t>Sapna</t>
  </si>
  <si>
    <t>Rajesh</t>
  </si>
  <si>
    <t>Pinki</t>
  </si>
  <si>
    <t>Ankit</t>
  </si>
  <si>
    <t>Geeta</t>
  </si>
  <si>
    <t>Yogesh</t>
  </si>
  <si>
    <t>Team D</t>
  </si>
  <si>
    <t>Radha</t>
  </si>
  <si>
    <t>Naresh</t>
  </si>
  <si>
    <t>Kusum</t>
  </si>
  <si>
    <t>Dev</t>
  </si>
  <si>
    <t>Lata</t>
  </si>
  <si>
    <t>Imran</t>
  </si>
  <si>
    <t>Shweta</t>
  </si>
  <si>
    <t>Arif</t>
  </si>
  <si>
    <t>Simran</t>
  </si>
  <si>
    <t>Harsh</t>
  </si>
  <si>
    <t>Jyoti</t>
  </si>
  <si>
    <t>Kapil</t>
  </si>
  <si>
    <t>Neeraj</t>
  </si>
  <si>
    <t>Feedback</t>
  </si>
  <si>
    <t>Result</t>
  </si>
  <si>
    <t>Row Labels</t>
  </si>
  <si>
    <t>Grand Total</t>
  </si>
  <si>
    <t>Column Labels</t>
  </si>
  <si>
    <t>EMP ID</t>
  </si>
  <si>
    <t>Total Calls</t>
  </si>
  <si>
    <t>Calls</t>
  </si>
  <si>
    <t>Average AHT</t>
  </si>
  <si>
    <t>Positive Feedback</t>
  </si>
  <si>
    <t>MIS REPORT</t>
  </si>
  <si>
    <t>Metric</t>
  </si>
  <si>
    <t xml:space="preserve">EMP ID </t>
  </si>
  <si>
    <t xml:space="preserve">AHT </t>
  </si>
  <si>
    <t>Values</t>
  </si>
  <si>
    <t>Total Employees</t>
  </si>
  <si>
    <t xml:space="preserve">Count of EMP ID </t>
  </si>
  <si>
    <t>Good Performer</t>
  </si>
  <si>
    <t>Needs Improvement</t>
  </si>
  <si>
    <t>Top Performer</t>
  </si>
  <si>
    <t>Sum of Calls</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</si>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</sst>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orbel"/>
      <family val="2"/>
      <scheme val="minor"/>
    </font>
    <font>
      <b/>
      <sz val="11"/>
      <color theme="1"/>
      <name val="Corbel"/>
      <family val="2"/>
      <scheme val="minor"/>
    </font>
    <font>
      <b/>
      <sz val="11"/>
      <color theme="1"/>
      <name val="Corbel"/>
      <scheme val="minor"/>
    </font>
    <font>
      <b/>
      <sz val="11"/>
      <color theme="0"/>
      <name val="Corbel"/>
      <scheme val="minor"/>
    </font>
    <font>
      <sz val="48"/>
      <color theme="0"/>
      <name val="Segoe UI Black"/>
      <family val="2"/>
    </font>
    <font>
      <b/>
      <sz val="48"/>
      <color theme="1"/>
      <name val="Microsoft YaHei"/>
      <family val="2"/>
    </font>
  </fonts>
  <fills count="7">
    <fill>
      <patternFill patternType="none"/>
    </fill>
    <fill>
      <patternFill patternType="gray125"/>
    </fill>
    <fill>
      <patternFill patternType="solid">
        <fgColor rgb="FF00206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xf>
    <xf numFmtId="0" fontId="0" fillId="0" borderId="1" xfId="0" applyBorder="1" applyAlignment="1">
      <alignment horizontal="center"/>
    </xf>
    <xf numFmtId="0" fontId="2" fillId="3" borderId="1" xfId="0" applyFont="1" applyFill="1" applyBorder="1"/>
    <xf numFmtId="0" fontId="2" fillId="3" borderId="1" xfId="0" applyFont="1" applyFill="1" applyBorder="1" applyAlignment="1">
      <alignment horizontal="center"/>
    </xf>
    <xf numFmtId="0" fontId="2" fillId="3" borderId="3" xfId="0" applyFont="1" applyFill="1" applyBorder="1"/>
    <xf numFmtId="0" fontId="2" fillId="3" borderId="3" xfId="0" applyFont="1" applyFill="1" applyBorder="1" applyAlignment="1">
      <alignment horizontal="center"/>
    </xf>
    <xf numFmtId="0" fontId="3" fillId="2" borderId="1" xfId="0" applyFont="1" applyFill="1" applyBorder="1" applyAlignment="1">
      <alignment horizontal="center"/>
    </xf>
    <xf numFmtId="0" fontId="2" fillId="5" borderId="1" xfId="0" applyFont="1" applyFill="1" applyBorder="1" applyAlignment="1">
      <alignment horizontal="center"/>
    </xf>
    <xf numFmtId="0" fontId="0" fillId="6" borderId="0" xfId="0" applyFill="1"/>
    <xf numFmtId="0" fontId="5" fillId="4" borderId="0" xfId="0" applyFont="1" applyFill="1"/>
    <xf numFmtId="0" fontId="0" fillId="4" borderId="0" xfId="0" applyFill="1"/>
    <xf numFmtId="0" fontId="4" fillId="2" borderId="2" xfId="0" applyFont="1" applyFill="1" applyBorder="1" applyAlignment="1">
      <alignment horizontal="center" vertical="center"/>
    </xf>
    <xf numFmtId="0" fontId="0" fillId="2" borderId="0" xfId="0" applyFill="1" applyAlignment="1">
      <alignment horizontal="center" vertical="center"/>
    </xf>
    <xf numFmtId="0" fontId="0" fillId="2" borderId="2" xfId="0" applyFill="1" applyBorder="1" applyAlignment="1">
      <alignment horizontal="center" vertical="center"/>
    </xf>
    <xf numFmtId="0" fontId="0" fillId="0" borderId="0" xfId="0" applyNumberFormat="1"/>
  </cellXfs>
  <cellStyles count="1">
    <cellStyle name="Normal" xfId="0" builtinId="0"/>
  </cellStyles>
  <dxfs count="9">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patternType="lightGray">
          <bgColor theme="9"/>
        </patternFill>
      </fill>
    </dxf>
  </dxfs>
  <tableStyles count="1" defaultTableStyle="TableStyleMedium2" defaultPivotStyle="PivotStyleLight16">
    <tableStyle name="Slicer Style 1" pivot="0" table="0" count="1" xr9:uid="{BF56A1E1-8253-4E59-A446-50716AE4EC6A}">
      <tableStyleElement type="wholeTable" dxfId="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[CallsTeamDashboard.xlsx]Pivot Table!PivotTable1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Different Feedback  by Customers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Table'!$A$4:$A$7</c:f>
              <c:strCache>
                <c:ptCount val="3"/>
                <c:pt idx="0">
                  <c:v>Negative</c:v>
                </c:pt>
                <c:pt idx="1">
                  <c:v>Neutral</c:v>
                </c:pt>
                <c:pt idx="2">
                  <c:v>Positive</c:v>
                </c:pt>
              </c:strCache>
            </c:strRef>
          </c:cat>
          <c:val>
            <c:numRef>
              <c:f>'Pivot Table'!$B$4:$B$7</c:f>
              <c:numCache>
                <c:formatCode>General</c:formatCode>
                <c:ptCount val="3"/>
                <c:pt idx="0">
                  <c:v>10</c:v>
                </c:pt>
                <c:pt idx="1">
                  <c:v>7</c:v>
                </c:pt>
                <c:pt idx="2">
                  <c:v>33</c:v>
                </c:pt>
              </c:numCache>
            </c:numRef>
          </c:val>
          <c:extLst>
            <c:ext xmlns:c16="http://schemas.microsoft.com/office/drawing/2014/chart" uri="{C3380CC4-5D6E-409C-BE32-E72D297353CC}">
              <c16:uniqueId val="{00000000-5DAE-4F97-9053-D8984FF70E26}"/>
            </c:ext>
          </c:extLst>
        </c:ser>
        <c:dLbls>
          <c:showLegendKey val="0"/>
          <c:showVal val="0"/>
          <c:showCatName val="0"/>
          <c:showSerName val="0"/>
          <c:showPercent val="0"/>
          <c:showBubbleSize val="0"/>
        </c:dLbls>
        <c:gapWidth val="182"/>
        <c:overlap val="-50"/>
        <c:axId val="1024153312"/>
        <c:axId val="1024138912"/>
      </c:barChart>
      <c:catAx>
        <c:axId val="102415331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4138912"/>
        <c:crosses val="autoZero"/>
        <c:auto val="1"/>
        <c:lblAlgn val="ctr"/>
        <c:lblOffset val="100"/>
        <c:noMultiLvlLbl val="0"/>
      </c:catAx>
      <c:valAx>
        <c:axId val="102413891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4153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[CallsTeamDashboard.xlsx]Pivot Table!PivotTable2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Teams</a:t>
            </a:r>
            <a:r>
              <a:rPr lang="en-IN" baseline="0"/>
              <a:t> Categorized  by Different Feedback</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Table'!$B$9:$B$10</c:f>
              <c:strCache>
                <c:ptCount val="1"/>
                <c:pt idx="0">
                  <c:v>Positive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Table'!$A$11:$A$15</c:f>
              <c:strCache>
                <c:ptCount val="4"/>
                <c:pt idx="0">
                  <c:v>Team A</c:v>
                </c:pt>
                <c:pt idx="1">
                  <c:v>Team B</c:v>
                </c:pt>
                <c:pt idx="2">
                  <c:v>Team C</c:v>
                </c:pt>
                <c:pt idx="3">
                  <c:v>Team D</c:v>
                </c:pt>
              </c:strCache>
            </c:strRef>
          </c:cat>
          <c:val>
            <c:numRef>
              <c:f>'Pivot Table'!$B$11:$B$15</c:f>
              <c:numCache>
                <c:formatCode>General</c:formatCode>
                <c:ptCount val="4"/>
                <c:pt idx="0">
                  <c:v>7</c:v>
                </c:pt>
                <c:pt idx="1">
                  <c:v>8</c:v>
                </c:pt>
                <c:pt idx="2">
                  <c:v>8</c:v>
                </c:pt>
                <c:pt idx="3">
                  <c:v>10</c:v>
                </c:pt>
              </c:numCache>
            </c:numRef>
          </c:val>
          <c:extLst>
            <c:ext xmlns:c16="http://schemas.microsoft.com/office/drawing/2014/chart" uri="{C3380CC4-5D6E-409C-BE32-E72D297353CC}">
              <c16:uniqueId val="{00000000-D9D2-4F66-BBCC-1DAA7641884A}"/>
            </c:ext>
          </c:extLst>
        </c:ser>
        <c:ser>
          <c:idx val="1"/>
          <c:order val="1"/>
          <c:tx>
            <c:strRef>
              <c:f>'Pivot Table'!$C$9:$C$10</c:f>
              <c:strCache>
                <c:ptCount val="1"/>
                <c:pt idx="0">
                  <c:v>Neutral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Table'!$A$11:$A$15</c:f>
              <c:strCache>
                <c:ptCount val="4"/>
                <c:pt idx="0">
                  <c:v>Team A</c:v>
                </c:pt>
                <c:pt idx="1">
                  <c:v>Team B</c:v>
                </c:pt>
                <c:pt idx="2">
                  <c:v>Team C</c:v>
                </c:pt>
                <c:pt idx="3">
                  <c:v>Team D</c:v>
                </c:pt>
              </c:strCache>
            </c:strRef>
          </c:cat>
          <c:val>
            <c:numRef>
              <c:f>'Pivot Table'!$C$11:$C$15</c:f>
              <c:numCache>
                <c:formatCode>General</c:formatCode>
                <c:ptCount val="4"/>
                <c:pt idx="0">
                  <c:v>2</c:v>
                </c:pt>
                <c:pt idx="1">
                  <c:v>1</c:v>
                </c:pt>
                <c:pt idx="2">
                  <c:v>2</c:v>
                </c:pt>
                <c:pt idx="3">
                  <c:v>2</c:v>
                </c:pt>
              </c:numCache>
            </c:numRef>
          </c:val>
          <c:extLst>
            <c:ext xmlns:c16="http://schemas.microsoft.com/office/drawing/2014/chart" uri="{C3380CC4-5D6E-409C-BE32-E72D297353CC}">
              <c16:uniqueId val="{0000000B-DA41-4FAC-8CA1-4CCC0A864C54}"/>
            </c:ext>
          </c:extLst>
        </c:ser>
        <c:ser>
          <c:idx val="2"/>
          <c:order val="2"/>
          <c:tx>
            <c:strRef>
              <c:f>'Pivot Table'!$D$9:$D$10</c:f>
              <c:strCache>
                <c:ptCount val="1"/>
                <c:pt idx="0">
                  <c:v>Negative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Table'!$A$11:$A$15</c:f>
              <c:strCache>
                <c:ptCount val="4"/>
                <c:pt idx="0">
                  <c:v>Team A</c:v>
                </c:pt>
                <c:pt idx="1">
                  <c:v>Team B</c:v>
                </c:pt>
                <c:pt idx="2">
                  <c:v>Team C</c:v>
                </c:pt>
                <c:pt idx="3">
                  <c:v>Team D</c:v>
                </c:pt>
              </c:strCache>
            </c:strRef>
          </c:cat>
          <c:val>
            <c:numRef>
              <c:f>'Pivot Table'!$D$11:$D$15</c:f>
              <c:numCache>
                <c:formatCode>General</c:formatCode>
                <c:ptCount val="4"/>
                <c:pt idx="0">
                  <c:v>3</c:v>
                </c:pt>
                <c:pt idx="1">
                  <c:v>3</c:v>
                </c:pt>
                <c:pt idx="2">
                  <c:v>2</c:v>
                </c:pt>
                <c:pt idx="3">
                  <c:v>2</c:v>
                </c:pt>
              </c:numCache>
            </c:numRef>
          </c:val>
          <c:extLst>
            <c:ext xmlns:c16="http://schemas.microsoft.com/office/drawing/2014/chart" uri="{C3380CC4-5D6E-409C-BE32-E72D297353CC}">
              <c16:uniqueId val="{0000000C-DA41-4FAC-8CA1-4CCC0A864C54}"/>
            </c:ext>
          </c:extLst>
        </c:ser>
        <c:dLbls>
          <c:dLblPos val="outEnd"/>
          <c:showLegendKey val="0"/>
          <c:showVal val="1"/>
          <c:showCatName val="0"/>
          <c:showSerName val="0"/>
          <c:showPercent val="0"/>
          <c:showBubbleSize val="0"/>
        </c:dLbls>
        <c:gapWidth val="315"/>
        <c:overlap val="-40"/>
        <c:axId val="835744256"/>
        <c:axId val="835750016"/>
      </c:barChart>
      <c:catAx>
        <c:axId val="8357442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5750016"/>
        <c:crosses val="autoZero"/>
        <c:auto val="1"/>
        <c:lblAlgn val="ctr"/>
        <c:lblOffset val="100"/>
        <c:noMultiLvlLbl val="0"/>
      </c:catAx>
      <c:valAx>
        <c:axId val="8357500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35744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[CallsTeamDashboard.xlsx]Pivot Table!PivotTable3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Team Attendance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tint val="85000"/>
                  <a:shade val="98000"/>
                  <a:satMod val="110000"/>
                  <a:lumMod val="103000"/>
                </a:schemeClr>
              </a:gs>
              <a:gs pos="50000">
                <a:schemeClr val="accent6">
                  <a:shade val="85000"/>
                  <a:satMod val="105000"/>
                  <a:lumMod val="100000"/>
                </a:schemeClr>
              </a:gs>
              <a:gs pos="100000">
                <a:schemeClr val="accent6">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Table'!$B$17</c:f>
              <c:strCache>
                <c:ptCount val="1"/>
                <c:pt idx="0">
                  <c:v>Total</c:v>
                </c:pt>
              </c:strCache>
            </c:strRef>
          </c:tx>
          <c:spPr>
            <a:gradFill rotWithShape="1">
              <a:gsLst>
                <a:gs pos="0">
                  <a:schemeClr val="accent6">
                    <a:tint val="85000"/>
                    <a:shade val="98000"/>
                    <a:satMod val="110000"/>
                    <a:lumMod val="103000"/>
                  </a:schemeClr>
                </a:gs>
                <a:gs pos="50000">
                  <a:schemeClr val="accent6">
                    <a:shade val="85000"/>
                    <a:satMod val="105000"/>
                    <a:lumMod val="100000"/>
                  </a:schemeClr>
                </a:gs>
                <a:gs pos="100000">
                  <a:schemeClr val="accent6">
                    <a:shade val="60000"/>
                    <a:satMod val="120000"/>
                    <a:lumMod val="100000"/>
                  </a:schemeClr>
                </a:gs>
              </a:gsLst>
              <a:lin ang="5400000" scaled="0"/>
            </a:gradFill>
            <a:ln>
              <a:noFill/>
            </a:ln>
            <a:effectLst>
              <a:outerShdw blurRad="88900" dist="2794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Table'!$A$18:$A$22</c:f>
              <c:strCache>
                <c:ptCount val="4"/>
                <c:pt idx="0">
                  <c:v>Absent</c:v>
                </c:pt>
                <c:pt idx="1">
                  <c:v>Planned Leave</c:v>
                </c:pt>
                <c:pt idx="2">
                  <c:v>Present</c:v>
                </c:pt>
                <c:pt idx="3">
                  <c:v>Week Off</c:v>
                </c:pt>
              </c:strCache>
            </c:strRef>
          </c:cat>
          <c:val>
            <c:numRef>
              <c:f>'Pivot Table'!$B$18:$B$22</c:f>
              <c:numCache>
                <c:formatCode>General</c:formatCode>
                <c:ptCount val="4"/>
                <c:pt idx="0">
                  <c:v>3</c:v>
                </c:pt>
                <c:pt idx="1">
                  <c:v>1</c:v>
                </c:pt>
                <c:pt idx="2">
                  <c:v>45</c:v>
                </c:pt>
                <c:pt idx="3">
                  <c:v>1</c:v>
                </c:pt>
              </c:numCache>
            </c:numRef>
          </c:val>
          <c:extLst>
            <c:ext xmlns:c16="http://schemas.microsoft.com/office/drawing/2014/chart" uri="{C3380CC4-5D6E-409C-BE32-E72D297353CC}">
              <c16:uniqueId val="{00000000-2993-47BE-86DD-9051320056D6}"/>
            </c:ext>
          </c:extLst>
        </c:ser>
        <c:dLbls>
          <c:dLblPos val="ctr"/>
          <c:showLegendKey val="0"/>
          <c:showVal val="1"/>
          <c:showCatName val="0"/>
          <c:showSerName val="0"/>
          <c:showPercent val="0"/>
          <c:showBubbleSize val="0"/>
        </c:dLbls>
        <c:gapWidth val="150"/>
        <c:overlap val="100"/>
        <c:axId val="1204500768"/>
        <c:axId val="1204501248"/>
      </c:barChart>
      <c:catAx>
        <c:axId val="1204500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501248"/>
        <c:crosses val="autoZero"/>
        <c:auto val="1"/>
        <c:lblAlgn val="ctr"/>
        <c:lblOffset val="100"/>
        <c:noMultiLvlLbl val="0"/>
      </c:catAx>
      <c:valAx>
        <c:axId val="120450124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450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[CallsTeamDashboard.xlsx]Pivot Table!PivotTable4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Performance</a:t>
            </a:r>
            <a:r>
              <a:rPr lang="en-IN" baseline="0"/>
              <a:t> by Different Teams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Table'!$B$24:$B$25</c:f>
              <c:strCache>
                <c:ptCount val="1"/>
                <c:pt idx="0">
                  <c:v>Top Performer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Table'!$A$26:$A$30</c:f>
              <c:strCache>
                <c:ptCount val="4"/>
                <c:pt idx="0">
                  <c:v>Team A</c:v>
                </c:pt>
                <c:pt idx="1">
                  <c:v>Team B</c:v>
                </c:pt>
                <c:pt idx="2">
                  <c:v>Team C</c:v>
                </c:pt>
                <c:pt idx="3">
                  <c:v>Team D</c:v>
                </c:pt>
              </c:strCache>
            </c:strRef>
          </c:cat>
          <c:val>
            <c:numRef>
              <c:f>'Pivot Table'!$B$26:$B$30</c:f>
              <c:numCache>
                <c:formatCode>General</c:formatCode>
                <c:ptCount val="4"/>
                <c:pt idx="0">
                  <c:v>3</c:v>
                </c:pt>
                <c:pt idx="1">
                  <c:v>2</c:v>
                </c:pt>
                <c:pt idx="2">
                  <c:v>2</c:v>
                </c:pt>
                <c:pt idx="3">
                  <c:v>2</c:v>
                </c:pt>
              </c:numCache>
            </c:numRef>
          </c:val>
          <c:extLst>
            <c:ext xmlns:c16="http://schemas.microsoft.com/office/drawing/2014/chart" uri="{C3380CC4-5D6E-409C-BE32-E72D297353CC}">
              <c16:uniqueId val="{00000000-4169-4AD7-96EB-2C0CE546AAFA}"/>
            </c:ext>
          </c:extLst>
        </c:ser>
        <c:ser>
          <c:idx val="1"/>
          <c:order val="1"/>
          <c:tx>
            <c:strRef>
              <c:f>'Pivot Table'!$C$24:$C$25</c:f>
              <c:strCache>
                <c:ptCount val="1"/>
                <c:pt idx="0">
                  <c:v>Good Performer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Table'!$A$26:$A$30</c:f>
              <c:strCache>
                <c:ptCount val="4"/>
                <c:pt idx="0">
                  <c:v>Team A</c:v>
                </c:pt>
                <c:pt idx="1">
                  <c:v>Team B</c:v>
                </c:pt>
                <c:pt idx="2">
                  <c:v>Team C</c:v>
                </c:pt>
                <c:pt idx="3">
                  <c:v>Team D</c:v>
                </c:pt>
              </c:strCache>
            </c:strRef>
          </c:cat>
          <c:val>
            <c:numRef>
              <c:f>'Pivot Table'!$C$26:$C$30</c:f>
              <c:numCache>
                <c:formatCode>General</c:formatCode>
                <c:ptCount val="4"/>
                <c:pt idx="0">
                  <c:v>3</c:v>
                </c:pt>
                <c:pt idx="1">
                  <c:v>5</c:v>
                </c:pt>
                <c:pt idx="2">
                  <c:v>6</c:v>
                </c:pt>
                <c:pt idx="3">
                  <c:v>7</c:v>
                </c:pt>
              </c:numCache>
            </c:numRef>
          </c:val>
          <c:extLst>
            <c:ext xmlns:c16="http://schemas.microsoft.com/office/drawing/2014/chart" uri="{C3380CC4-5D6E-409C-BE32-E72D297353CC}">
              <c16:uniqueId val="{00000009-E267-4BF8-ACC0-023E00084D62}"/>
            </c:ext>
          </c:extLst>
        </c:ser>
        <c:ser>
          <c:idx val="2"/>
          <c:order val="2"/>
          <c:tx>
            <c:strRef>
              <c:f>'Pivot Table'!$D$24:$D$25</c:f>
              <c:strCache>
                <c:ptCount val="1"/>
                <c:pt idx="0">
                  <c:v>Needs Improvement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Table'!$A$26:$A$30</c:f>
              <c:strCache>
                <c:ptCount val="4"/>
                <c:pt idx="0">
                  <c:v>Team A</c:v>
                </c:pt>
                <c:pt idx="1">
                  <c:v>Team B</c:v>
                </c:pt>
                <c:pt idx="2">
                  <c:v>Team C</c:v>
                </c:pt>
                <c:pt idx="3">
                  <c:v>Team D</c:v>
                </c:pt>
              </c:strCache>
            </c:strRef>
          </c:cat>
          <c:val>
            <c:numRef>
              <c:f>'Pivot Table'!$D$26:$D$30</c:f>
              <c:numCache>
                <c:formatCode>General</c:formatCode>
                <c:ptCount val="4"/>
                <c:pt idx="0">
                  <c:v>6</c:v>
                </c:pt>
                <c:pt idx="1">
                  <c:v>5</c:v>
                </c:pt>
                <c:pt idx="2">
                  <c:v>4</c:v>
                </c:pt>
                <c:pt idx="3">
                  <c:v>5</c:v>
                </c:pt>
              </c:numCache>
            </c:numRef>
          </c:val>
          <c:extLst>
            <c:ext xmlns:c16="http://schemas.microsoft.com/office/drawing/2014/chart" uri="{C3380CC4-5D6E-409C-BE32-E72D297353CC}">
              <c16:uniqueId val="{0000000A-E267-4BF8-ACC0-023E00084D62}"/>
            </c:ext>
          </c:extLst>
        </c:ser>
        <c:dLbls>
          <c:dLblPos val="outEnd"/>
          <c:showLegendKey val="0"/>
          <c:showVal val="1"/>
          <c:showCatName val="0"/>
          <c:showSerName val="0"/>
          <c:showPercent val="0"/>
          <c:showBubbleSize val="0"/>
        </c:dLbls>
        <c:gapWidth val="315"/>
        <c:overlap val="-40"/>
        <c:axId val="1204466208"/>
        <c:axId val="1204448448"/>
      </c:barChart>
      <c:catAx>
        <c:axId val="12044662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4448448"/>
        <c:crosses val="autoZero"/>
        <c:auto val="1"/>
        <c:lblAlgn val="ctr"/>
        <c:lblOffset val="100"/>
        <c:noMultiLvlLbl val="0"/>
      </c:catAx>
      <c:valAx>
        <c:axId val="12044484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446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[CallsTeamDashboard.xlsx]Pivot Table!PivotTable5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Calls by Different Teams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8"/>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9"/>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
        <c:idx val="10"/>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pivotFmt>
    </c:pivotFmts>
    <c:plotArea>
      <c:layout/>
      <c:pieChart>
        <c:varyColors val="1"/>
        <c:ser>
          <c:idx val="0"/>
          <c:order val="0"/>
          <c:tx>
            <c:strRef>
              <c:f>'Pivot Table'!$B$32</c:f>
              <c:strCache>
                <c:ptCount val="1"/>
                <c:pt idx="0">
                  <c:v>Total</c:v>
                </c:pt>
              </c:strCache>
            </c:strRef>
          </c:tx>
          <c:dPt>
            <c:idx val="0"/>
            <c:bubble3D val="0"/>
            <c:spPr>
              <a:gradFill rotWithShape="1">
                <a:gsLst>
                  <a:gs pos="0">
                    <a:schemeClr val="accent1">
                      <a:tint val="85000"/>
                      <a:shade val="98000"/>
                      <a:satMod val="110000"/>
                      <a:lumMod val="103000"/>
                    </a:schemeClr>
                  </a:gs>
                  <a:gs pos="50000">
                    <a:schemeClr val="accent1">
                      <a:shade val="85000"/>
                      <a:satMod val="105000"/>
                      <a:lumMod val="100000"/>
                    </a:schemeClr>
                  </a:gs>
                  <a:gs pos="100000">
                    <a:schemeClr val="accent1">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1-EF5B-4C48-A9C4-5CA5F860BB73}"/>
              </c:ext>
            </c:extLst>
          </c:dPt>
          <c:dPt>
            <c:idx val="1"/>
            <c:bubble3D val="0"/>
            <c:spPr>
              <a:gradFill rotWithShape="1">
                <a:gsLst>
                  <a:gs pos="0">
                    <a:schemeClr val="accent2">
                      <a:tint val="85000"/>
                      <a:shade val="98000"/>
                      <a:satMod val="110000"/>
                      <a:lumMod val="103000"/>
                    </a:schemeClr>
                  </a:gs>
                  <a:gs pos="50000">
                    <a:schemeClr val="accent2">
                      <a:shade val="85000"/>
                      <a:satMod val="105000"/>
                      <a:lumMod val="100000"/>
                    </a:schemeClr>
                  </a:gs>
                  <a:gs pos="100000">
                    <a:schemeClr val="accent2">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3-EF5B-4C48-A9C4-5CA5F860BB73}"/>
              </c:ext>
            </c:extLst>
          </c:dPt>
          <c:dPt>
            <c:idx val="2"/>
            <c:bubble3D val="0"/>
            <c:spPr>
              <a:gradFill rotWithShape="1">
                <a:gsLst>
                  <a:gs pos="0">
                    <a:schemeClr val="accent3">
                      <a:tint val="85000"/>
                      <a:shade val="98000"/>
                      <a:satMod val="110000"/>
                      <a:lumMod val="103000"/>
                    </a:schemeClr>
                  </a:gs>
                  <a:gs pos="50000">
                    <a:schemeClr val="accent3">
                      <a:shade val="85000"/>
                      <a:satMod val="105000"/>
                      <a:lumMod val="100000"/>
                    </a:schemeClr>
                  </a:gs>
                  <a:gs pos="100000">
                    <a:schemeClr val="accent3">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5-EF5B-4C48-A9C4-5CA5F860BB73}"/>
              </c:ext>
            </c:extLst>
          </c:dPt>
          <c:dPt>
            <c:idx val="3"/>
            <c:bubble3D val="0"/>
            <c:spPr>
              <a:gradFill rotWithShape="1">
                <a:gsLst>
                  <a:gs pos="0">
                    <a:schemeClr val="accent4">
                      <a:tint val="85000"/>
                      <a:shade val="98000"/>
                      <a:satMod val="110000"/>
                      <a:lumMod val="103000"/>
                    </a:schemeClr>
                  </a:gs>
                  <a:gs pos="50000">
                    <a:schemeClr val="accent4">
                      <a:shade val="85000"/>
                      <a:satMod val="105000"/>
                      <a:lumMod val="100000"/>
                    </a:schemeClr>
                  </a:gs>
                  <a:gs pos="100000">
                    <a:schemeClr val="accent4">
                      <a:shade val="60000"/>
                      <a:satMod val="120000"/>
                      <a:lumMod val="100000"/>
                    </a:schemeClr>
                  </a:gs>
                </a:gsLst>
                <a:lin ang="5400000" scaled="0"/>
              </a:gradFill>
              <a:ln>
                <a:noFill/>
              </a:ln>
              <a:effectLst>
                <a:outerShdw blurRad="88900" dist="27940" dir="5400000" algn="ctr" rotWithShape="0">
                  <a:srgbClr val="000000">
                    <a:alpha val="63000"/>
                  </a:srgbClr>
                </a:outerShdw>
              </a:effectLst>
            </c:spPr>
            <c:extLst>
              <c:ext xmlns:c16="http://schemas.microsoft.com/office/drawing/2014/chart" uri="{C3380CC4-5D6E-409C-BE32-E72D297353CC}">
                <c16:uniqueId val="{00000007-EF5B-4C48-A9C4-5CA5F860BB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Table'!$A$33:$A$37</c:f>
              <c:strCache>
                <c:ptCount val="4"/>
                <c:pt idx="0">
                  <c:v>Team A</c:v>
                </c:pt>
                <c:pt idx="1">
                  <c:v>Team B</c:v>
                </c:pt>
                <c:pt idx="2">
                  <c:v>Team C</c:v>
                </c:pt>
                <c:pt idx="3">
                  <c:v>Team D</c:v>
                </c:pt>
              </c:strCache>
            </c:strRef>
          </c:cat>
          <c:val>
            <c:numRef>
              <c:f>'Pivot Table'!$B$33:$B$37</c:f>
              <c:numCache>
                <c:formatCode>General</c:formatCode>
                <c:ptCount val="4"/>
                <c:pt idx="0">
                  <c:v>679</c:v>
                </c:pt>
                <c:pt idx="1">
                  <c:v>665</c:v>
                </c:pt>
                <c:pt idx="2">
                  <c:v>684</c:v>
                </c:pt>
                <c:pt idx="3">
                  <c:v>805</c:v>
                </c:pt>
              </c:numCache>
            </c:numRef>
          </c:val>
          <c:extLst>
            <c:ext xmlns:c16="http://schemas.microsoft.com/office/drawing/2014/chart" uri="{C3380CC4-5D6E-409C-BE32-E72D297353CC}">
              <c16:uniqueId val="{00000008-EF5B-4C48-A9C4-5CA5F860BB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106680</xdr:colOff>
      <xdr:row>0</xdr:row>
      <xdr:rowOff>99060</xdr:rowOff>
    </xdr:from>
    <xdr:to>
      <xdr:col>17</xdr:col>
      <xdr:colOff>510540</xdr:colOff>
      <xdr:row>4</xdr:row>
      <xdr:rowOff>99060</xdr:rowOff>
    </xdr:to>
    <xdr:sp macro="" textlink="">
      <xdr:nvSpPr>
        <xdr:cNvPr id="2" name="Rectangle: Rounded Corners 1">
          <a:extLst>
            <a:ext uri="{FF2B5EF4-FFF2-40B4-BE49-F238E27FC236}">
              <a16:creationId xmlns:a16="http://schemas.microsoft.com/office/drawing/2014/main" id="{2A22A211-86C7-D4EB-CF3A-15D405B7CD36}"/>
            </a:ext>
          </a:extLst>
        </xdr:cNvPr>
        <xdr:cNvSpPr/>
      </xdr:nvSpPr>
      <xdr:spPr>
        <a:xfrm>
          <a:off x="3764280" y="99060"/>
          <a:ext cx="7109460" cy="731520"/>
        </a:xfrm>
        <a:prstGeom prst="roundRect">
          <a:avLst/>
        </a:prstGeom>
        <a:solidFill>
          <a:schemeClr val="tx1">
            <a:lumMod val="25000"/>
            <a:lumOff val="7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000">
              <a:latin typeface="Arial Rounded MT Bold" panose="020F0704030504030204" pitchFamily="34" charset="0"/>
              <a:cs typeface="Cascadia Mono SemiBold" panose="020B0609020000020004" pitchFamily="49" charset="0"/>
            </a:rPr>
            <a:t>Calls Team Dashboard</a:t>
          </a:r>
        </a:p>
      </xdr:txBody>
    </xdr:sp>
    <xdr:clientData/>
  </xdr:twoCellAnchor>
  <xdr:twoCellAnchor>
    <xdr:from>
      <xdr:col>10</xdr:col>
      <xdr:colOff>198120</xdr:colOff>
      <xdr:row>5</xdr:row>
      <xdr:rowOff>47625</xdr:rowOff>
    </xdr:from>
    <xdr:to>
      <xdr:col>16</xdr:col>
      <xdr:colOff>449580</xdr:colOff>
      <xdr:row>17</xdr:row>
      <xdr:rowOff>114300</xdr:rowOff>
    </xdr:to>
    <xdr:graphicFrame macro="">
      <xdr:nvGraphicFramePr>
        <xdr:cNvPr id="3" name="Chart 2">
          <a:extLst>
            <a:ext uri="{FF2B5EF4-FFF2-40B4-BE49-F238E27FC236}">
              <a16:creationId xmlns:a16="http://schemas.microsoft.com/office/drawing/2014/main" id="{846AE297-ACA7-4DD8-8395-7054B86F3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99058</xdr:colOff>
      <xdr:row>17</xdr:row>
      <xdr:rowOff>160019</xdr:rowOff>
    </xdr:from>
    <xdr:to>
      <xdr:col>13</xdr:col>
      <xdr:colOff>525779</xdr:colOff>
      <xdr:row>35</xdr:row>
      <xdr:rowOff>51758</xdr:rowOff>
    </xdr:to>
    <xdr:graphicFrame macro="">
      <xdr:nvGraphicFramePr>
        <xdr:cNvPr id="4" name="Chart 3">
          <a:extLst>
            <a:ext uri="{FF2B5EF4-FFF2-40B4-BE49-F238E27FC236}">
              <a16:creationId xmlns:a16="http://schemas.microsoft.com/office/drawing/2014/main" id="{D3BBB452-9FA3-4EAF-86B4-60669F061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487680</xdr:colOff>
      <xdr:row>5</xdr:row>
      <xdr:rowOff>57150</xdr:rowOff>
    </xdr:from>
    <xdr:to>
      <xdr:col>23</xdr:col>
      <xdr:colOff>594360</xdr:colOff>
      <xdr:row>17</xdr:row>
      <xdr:rowOff>109537</xdr:rowOff>
    </xdr:to>
    <xdr:graphicFrame macro="">
      <xdr:nvGraphicFramePr>
        <xdr:cNvPr id="5" name="Chart 4">
          <a:extLst>
            <a:ext uri="{FF2B5EF4-FFF2-40B4-BE49-F238E27FC236}">
              <a16:creationId xmlns:a16="http://schemas.microsoft.com/office/drawing/2014/main" id="{FE682CBC-F779-4E67-9FB7-670BE76CF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586740</xdr:colOff>
      <xdr:row>17</xdr:row>
      <xdr:rowOff>160020</xdr:rowOff>
    </xdr:from>
    <xdr:to>
      <xdr:col>23</xdr:col>
      <xdr:colOff>592346</xdr:colOff>
      <xdr:row>35</xdr:row>
      <xdr:rowOff>53340</xdr:rowOff>
    </xdr:to>
    <xdr:graphicFrame macro="">
      <xdr:nvGraphicFramePr>
        <xdr:cNvPr id="6" name="Chart 5">
          <a:extLst>
            <a:ext uri="{FF2B5EF4-FFF2-40B4-BE49-F238E27FC236}">
              <a16:creationId xmlns:a16="http://schemas.microsoft.com/office/drawing/2014/main" id="{76703D4E-814F-4861-978A-A531662E1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106680</xdr:colOff>
      <xdr:row>5</xdr:row>
      <xdr:rowOff>49330</xdr:rowOff>
    </xdr:from>
    <xdr:to>
      <xdr:col>10</xdr:col>
      <xdr:colOff>167640</xdr:colOff>
      <xdr:row>17</xdr:row>
      <xdr:rowOff>110290</xdr:rowOff>
    </xdr:to>
    <xdr:graphicFrame macro="">
      <xdr:nvGraphicFramePr>
        <xdr:cNvPr id="7" name="Chart 6">
          <a:extLst>
            <a:ext uri="{FF2B5EF4-FFF2-40B4-BE49-F238E27FC236}">
              <a16:creationId xmlns:a16="http://schemas.microsoft.com/office/drawing/2014/main" id="{22DA531D-85EF-4C35-8AFF-9F34F9E11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38100</xdr:colOff>
      <xdr:row>5</xdr:row>
      <xdr:rowOff>53341</xdr:rowOff>
    </xdr:from>
    <xdr:to>
      <xdr:col>4</xdr:col>
      <xdr:colOff>30480</xdr:colOff>
      <xdr:row>13</xdr:row>
      <xdr:rowOff>167640</xdr:rowOff>
    </xdr:to>
    <mc:AlternateContent xmlns:mc="http://schemas.openxmlformats.org/markup-compatibility/2006" xmlns:a14="http://schemas.microsoft.com/office/drawing/2010/main">
      <mc:Choice Requires="a14">
        <xdr:graphicFrame macro="">
          <xdr:nvGraphicFramePr>
            <xdr:cNvPr id="8" name="Team">
              <a:extLst>
                <a:ext uri="{FF2B5EF4-FFF2-40B4-BE49-F238E27FC236}">
                  <a16:creationId xmlns:a16="http://schemas.microsoft.com/office/drawing/2014/main" id="{6C3EE5DE-0DFD-C7AB-30B5-306373B38DF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38100" y="967741"/>
              <a:ext cx="243078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27214</xdr:colOff>
      <xdr:row>16</xdr:row>
      <xdr:rowOff>40279</xdr:rowOff>
    </xdr:from>
    <xdr:to>
      <xdr:col>4</xdr:col>
      <xdr:colOff>19594</xdr:colOff>
      <xdr:row>24</xdr:row>
      <xdr:rowOff>169273</xdr:rowOff>
    </xdr:to>
    <mc:AlternateContent xmlns:mc="http://schemas.openxmlformats.org/markup-compatibility/2006" xmlns:a14="http://schemas.microsoft.com/office/drawing/2010/main">
      <mc:Choice Requires="a14">
        <xdr:graphicFrame macro="">
          <xdr:nvGraphicFramePr>
            <xdr:cNvPr id="9" name="Attendance">
              <a:extLst>
                <a:ext uri="{FF2B5EF4-FFF2-40B4-BE49-F238E27FC236}">
                  <a16:creationId xmlns:a16="http://schemas.microsoft.com/office/drawing/2014/main" id="{B4F24677-341E-00B2-7F59-9806A55D1DD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ttendance"/>
            </a:graphicData>
          </a:graphic>
        </xdr:graphicFrame>
      </mc:Choice>
      <mc:Fallback xmlns="">
        <xdr:sp macro="" textlink="">
          <xdr:nvSpPr>
            <xdr:cNvPr id="0" name=""/>
            <xdr:cNvSpPr>
              <a:spLocks noTextEdit="1"/>
            </xdr:cNvSpPr>
          </xdr:nvSpPr>
          <xdr:spPr>
            <a:xfrm>
              <a:off x="27214" y="2966359"/>
              <a:ext cx="2430780" cy="1592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35923</xdr:colOff>
      <xdr:row>27</xdr:row>
      <xdr:rowOff>76745</xdr:rowOff>
    </xdr:from>
    <xdr:to>
      <xdr:col>4</xdr:col>
      <xdr:colOff>28303</xdr:colOff>
      <xdr:row>35</xdr:row>
      <xdr:rowOff>46265</xdr:rowOff>
    </xdr:to>
    <mc:AlternateContent xmlns:mc="http://schemas.openxmlformats.org/markup-compatibility/2006" xmlns:a14="http://schemas.microsoft.com/office/drawing/2010/main">
      <mc:Choice Requires="a14">
        <xdr:graphicFrame macro="">
          <xdr:nvGraphicFramePr>
            <xdr:cNvPr id="10" name="Feedback">
              <a:extLst>
                <a:ext uri="{FF2B5EF4-FFF2-40B4-BE49-F238E27FC236}">
                  <a16:creationId xmlns:a16="http://schemas.microsoft.com/office/drawing/2014/main" id="{2928C3FF-0BE9-F92A-1809-AC5C88B2446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Feedback"/>
            </a:graphicData>
          </a:graphic>
        </xdr:graphicFrame>
      </mc:Choice>
      <mc:Fallback xmlns="">
        <xdr:sp macro="" textlink="">
          <xdr:nvSpPr>
            <xdr:cNvPr id="0" name=""/>
            <xdr:cNvSpPr>
              <a:spLocks noTextEdit="1"/>
            </xdr:cNvSpPr>
          </xdr:nvSpPr>
          <xdr:spPr>
            <a:xfrm>
              <a:off x="35923" y="5014505"/>
              <a:ext cx="243078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ard Samuel" refreshedDate="46146.628100347225" createdVersion="8" refreshedVersion="8" minRefreshableVersion="3" recordCount="50" xr:uid="{44F9722B-ED23-40AF-AF09-7E97B768B395}">
  <cacheSource type="worksheet">
    <worksheetSource ref="A6:J56" sheet="MIS Report"/>
  </cacheSource>
  <cacheFields count="10">
    <cacheField name="Team" numFmtId="0">
      <sharedItems count="4">
        <s v="Team A"/>
        <s v="Team B"/>
        <s v="Team C"/>
        <s v="Team D"/>
      </sharedItems>
    </cacheField>
    <cacheField name="EMP ID " numFmtId="0">
      <sharedItems containsSemiMixedTypes="0" containsString="0" containsNumber="1" containsInteger="1" minValue="101" maxValue="150"/>
    </cacheField>
    <cacheField name="Name" numFmtId="0">
      <sharedItems count="50">
        <s v="Rahul"/>
        <s v="Amit"/>
        <s v="Neha"/>
        <s v="Priya"/>
        <s v="Rohit"/>
        <s v="Sonia"/>
        <s v="Vikas"/>
        <s v="Karan"/>
        <s v="Anjali"/>
        <s v="Deepak"/>
        <s v="Manoj"/>
        <s v="Pooja"/>
        <s v="Sachin"/>
        <s v="Kavita"/>
        <s v="Arjun"/>
        <s v="Nisha"/>
        <s v="Ramesh"/>
        <s v="Seema"/>
        <s v="Vinay"/>
        <s v="Tina"/>
        <s v="Sunil"/>
        <s v="Payal"/>
        <s v="Ajay"/>
        <s v="Ritu"/>
        <s v="Naveen"/>
        <s v="Komal"/>
        <s v="Alok"/>
        <s v="Meena"/>
        <s v="Gaurav"/>
        <s v="Rekha"/>
        <s v="Mohit"/>
        <s v="Sapna"/>
        <s v="Rajesh"/>
        <s v="Pinki"/>
        <s v="Ankit"/>
        <s v="Geeta"/>
        <s v="Yogesh"/>
        <s v="Radha"/>
        <s v="Naresh"/>
        <s v="Kusum"/>
        <s v="Dev"/>
        <s v="Lata"/>
        <s v="Imran"/>
        <s v="Shweta"/>
        <s v="Arif"/>
        <s v="Simran"/>
        <s v="Harsh"/>
        <s v="Jyoti"/>
        <s v="Kapil"/>
        <s v="Neeraj"/>
      </sharedItems>
    </cacheField>
    <cacheField name="Attendance" numFmtId="0">
      <sharedItems count="4">
        <s v="Present"/>
        <s v="Week Off"/>
        <s v="Absent"/>
        <s v="Planned Leave"/>
      </sharedItems>
    </cacheField>
    <cacheField name="Login Hours" numFmtId="0">
      <sharedItems containsSemiMixedTypes="0" containsString="0" containsNumber="1" minValue="8.4" maxValue="9"/>
    </cacheField>
    <cacheField name="Break" numFmtId="0">
      <sharedItems containsSemiMixedTypes="0" containsString="0" containsNumber="1" minValue="0.4" maxValue="1"/>
    </cacheField>
    <cacheField name="Calls" numFmtId="0">
      <sharedItems containsSemiMixedTypes="0" containsString="0" containsNumber="1" containsInteger="1" minValue="38" maxValue="75" count="30">
        <n v="60"/>
        <n v="45"/>
        <n v="70"/>
        <n v="55"/>
        <n v="52"/>
        <n v="48"/>
        <n v="65"/>
        <n v="40"/>
        <n v="58"/>
        <n v="75"/>
        <n v="49"/>
        <n v="62"/>
        <n v="68"/>
        <n v="50"/>
        <n v="53"/>
        <n v="59"/>
        <n v="44"/>
        <n v="66"/>
        <n v="57"/>
        <n v="63"/>
        <n v="38"/>
        <n v="54"/>
        <n v="61"/>
        <n v="56"/>
        <n v="47"/>
        <n v="67"/>
        <n v="72"/>
        <n v="64"/>
        <n v="46"/>
        <n v="42"/>
      </sharedItems>
    </cacheField>
    <cacheField name="AHT " numFmtId="0">
      <sharedItems containsSemiMixedTypes="0" containsString="0" containsNumber="1" containsInteger="1" minValue="780" maxValue="950" count="16">
        <n v="850"/>
        <n v="920"/>
        <n v="780"/>
        <n v="880"/>
        <n v="910"/>
        <n v="870"/>
        <n v="890"/>
        <n v="940"/>
        <n v="860"/>
        <n v="800"/>
        <n v="905"/>
        <n v="830"/>
        <n v="840"/>
        <n v="950"/>
        <n v="820"/>
        <n v="900"/>
      </sharedItems>
    </cacheField>
    <cacheField name="Feedback" numFmtId="0">
      <sharedItems count="3">
        <s v="Positive"/>
        <s v="Negative"/>
        <s v="Neutral"/>
      </sharedItems>
    </cacheField>
    <cacheField name="Result" numFmtId="0">
      <sharedItems count="3">
        <s v="Top Performer"/>
        <s v="Needs Improvement"/>
        <s v="Good Performer"/>
      </sharedItems>
    </cacheField>
  </cacheFields>
  <extLst>
    <ext xmlns:x14="http://schemas.microsoft.com/office/spreadsheetml/2009/9/main" uri="{725AE2AE-9491-48be-B2B4-4EB974FC3084}">
      <x14:pivotCacheDefinition pivotCacheId="258213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101"/>
    <x v="0"/>
    <x v="0"/>
    <n v="9"/>
    <n v="1"/>
    <x v="0"/>
    <x v="0"/>
    <x v="0"/>
    <x v="0"/>
  </r>
  <r>
    <x v="0"/>
    <n v="102"/>
    <x v="1"/>
    <x v="0"/>
    <n v="8.5"/>
    <n v="0.5"/>
    <x v="1"/>
    <x v="1"/>
    <x v="1"/>
    <x v="1"/>
  </r>
  <r>
    <x v="0"/>
    <n v="103"/>
    <x v="2"/>
    <x v="0"/>
    <n v="9"/>
    <n v="1"/>
    <x v="2"/>
    <x v="2"/>
    <x v="0"/>
    <x v="0"/>
  </r>
  <r>
    <x v="0"/>
    <n v="104"/>
    <x v="3"/>
    <x v="1"/>
    <n v="9"/>
    <n v="1"/>
    <x v="3"/>
    <x v="3"/>
    <x v="2"/>
    <x v="1"/>
  </r>
  <r>
    <x v="0"/>
    <n v="105"/>
    <x v="4"/>
    <x v="0"/>
    <n v="9"/>
    <n v="1"/>
    <x v="4"/>
    <x v="4"/>
    <x v="0"/>
    <x v="1"/>
  </r>
  <r>
    <x v="0"/>
    <n v="106"/>
    <x v="5"/>
    <x v="0"/>
    <n v="8.8000000000000007"/>
    <n v="0.8"/>
    <x v="5"/>
    <x v="5"/>
    <x v="1"/>
    <x v="1"/>
  </r>
  <r>
    <x v="0"/>
    <n v="107"/>
    <x v="6"/>
    <x v="0"/>
    <n v="9"/>
    <n v="1"/>
    <x v="6"/>
    <x v="6"/>
    <x v="0"/>
    <x v="2"/>
  </r>
  <r>
    <x v="0"/>
    <n v="108"/>
    <x v="7"/>
    <x v="2"/>
    <n v="8.5"/>
    <n v="0.5"/>
    <x v="7"/>
    <x v="7"/>
    <x v="1"/>
    <x v="1"/>
  </r>
  <r>
    <x v="0"/>
    <n v="109"/>
    <x v="8"/>
    <x v="0"/>
    <n v="9"/>
    <n v="1"/>
    <x v="8"/>
    <x v="8"/>
    <x v="0"/>
    <x v="2"/>
  </r>
  <r>
    <x v="0"/>
    <n v="110"/>
    <x v="9"/>
    <x v="0"/>
    <n v="9"/>
    <n v="1"/>
    <x v="9"/>
    <x v="9"/>
    <x v="0"/>
    <x v="0"/>
  </r>
  <r>
    <x v="0"/>
    <n v="111"/>
    <x v="10"/>
    <x v="0"/>
    <n v="8.6999999999999993"/>
    <n v="0.7"/>
    <x v="10"/>
    <x v="10"/>
    <x v="2"/>
    <x v="1"/>
  </r>
  <r>
    <x v="0"/>
    <n v="112"/>
    <x v="11"/>
    <x v="0"/>
    <n v="9"/>
    <n v="1"/>
    <x v="11"/>
    <x v="5"/>
    <x v="0"/>
    <x v="2"/>
  </r>
  <r>
    <x v="1"/>
    <n v="113"/>
    <x v="12"/>
    <x v="0"/>
    <n v="9"/>
    <n v="1"/>
    <x v="12"/>
    <x v="11"/>
    <x v="0"/>
    <x v="0"/>
  </r>
  <r>
    <x v="1"/>
    <n v="114"/>
    <x v="13"/>
    <x v="0"/>
    <n v="9"/>
    <n v="1"/>
    <x v="13"/>
    <x v="4"/>
    <x v="1"/>
    <x v="1"/>
  </r>
  <r>
    <x v="1"/>
    <n v="115"/>
    <x v="14"/>
    <x v="3"/>
    <n v="9"/>
    <n v="1"/>
    <x v="14"/>
    <x v="3"/>
    <x v="0"/>
    <x v="2"/>
  </r>
  <r>
    <x v="1"/>
    <n v="116"/>
    <x v="15"/>
    <x v="0"/>
    <n v="8.9"/>
    <n v="0.9"/>
    <x v="15"/>
    <x v="5"/>
    <x v="0"/>
    <x v="2"/>
  </r>
  <r>
    <x v="1"/>
    <n v="117"/>
    <x v="16"/>
    <x v="0"/>
    <n v="8.6"/>
    <n v="0.6"/>
    <x v="16"/>
    <x v="1"/>
    <x v="1"/>
    <x v="1"/>
  </r>
  <r>
    <x v="1"/>
    <n v="118"/>
    <x v="17"/>
    <x v="0"/>
    <n v="9"/>
    <n v="1"/>
    <x v="17"/>
    <x v="12"/>
    <x v="0"/>
    <x v="0"/>
  </r>
  <r>
    <x v="1"/>
    <n v="119"/>
    <x v="18"/>
    <x v="0"/>
    <n v="9"/>
    <n v="1"/>
    <x v="18"/>
    <x v="8"/>
    <x v="0"/>
    <x v="2"/>
  </r>
  <r>
    <x v="1"/>
    <n v="120"/>
    <x v="19"/>
    <x v="0"/>
    <n v="9"/>
    <n v="1"/>
    <x v="0"/>
    <x v="6"/>
    <x v="0"/>
    <x v="2"/>
  </r>
  <r>
    <x v="1"/>
    <n v="121"/>
    <x v="20"/>
    <x v="0"/>
    <n v="9"/>
    <n v="1"/>
    <x v="3"/>
    <x v="3"/>
    <x v="2"/>
    <x v="1"/>
  </r>
  <r>
    <x v="1"/>
    <n v="122"/>
    <x v="21"/>
    <x v="0"/>
    <n v="9"/>
    <n v="1"/>
    <x v="4"/>
    <x v="4"/>
    <x v="0"/>
    <x v="1"/>
  </r>
  <r>
    <x v="1"/>
    <n v="123"/>
    <x v="22"/>
    <x v="0"/>
    <n v="9"/>
    <n v="1"/>
    <x v="19"/>
    <x v="5"/>
    <x v="0"/>
    <x v="2"/>
  </r>
  <r>
    <x v="1"/>
    <n v="124"/>
    <x v="23"/>
    <x v="2"/>
    <n v="8.4"/>
    <n v="0.4"/>
    <x v="20"/>
    <x v="13"/>
    <x v="1"/>
    <x v="1"/>
  </r>
  <r>
    <x v="2"/>
    <n v="125"/>
    <x v="24"/>
    <x v="0"/>
    <n v="9"/>
    <n v="1"/>
    <x v="2"/>
    <x v="14"/>
    <x v="0"/>
    <x v="0"/>
  </r>
  <r>
    <x v="2"/>
    <n v="126"/>
    <x v="25"/>
    <x v="0"/>
    <n v="9"/>
    <n v="1"/>
    <x v="21"/>
    <x v="8"/>
    <x v="0"/>
    <x v="2"/>
  </r>
  <r>
    <x v="2"/>
    <n v="127"/>
    <x v="26"/>
    <x v="0"/>
    <n v="9"/>
    <n v="1"/>
    <x v="8"/>
    <x v="6"/>
    <x v="2"/>
    <x v="1"/>
  </r>
  <r>
    <x v="2"/>
    <n v="128"/>
    <x v="27"/>
    <x v="0"/>
    <n v="9"/>
    <n v="1"/>
    <x v="22"/>
    <x v="5"/>
    <x v="0"/>
    <x v="2"/>
  </r>
  <r>
    <x v="2"/>
    <n v="129"/>
    <x v="28"/>
    <x v="0"/>
    <n v="9"/>
    <n v="1"/>
    <x v="23"/>
    <x v="3"/>
    <x v="0"/>
    <x v="2"/>
  </r>
  <r>
    <x v="2"/>
    <n v="130"/>
    <x v="29"/>
    <x v="0"/>
    <n v="8.5"/>
    <n v="0.5"/>
    <x v="24"/>
    <x v="1"/>
    <x v="1"/>
    <x v="1"/>
  </r>
  <r>
    <x v="2"/>
    <n v="131"/>
    <x v="30"/>
    <x v="0"/>
    <n v="9"/>
    <n v="1"/>
    <x v="25"/>
    <x v="12"/>
    <x v="0"/>
    <x v="0"/>
  </r>
  <r>
    <x v="2"/>
    <n v="132"/>
    <x v="31"/>
    <x v="0"/>
    <n v="9"/>
    <n v="1"/>
    <x v="15"/>
    <x v="8"/>
    <x v="0"/>
    <x v="2"/>
  </r>
  <r>
    <x v="2"/>
    <n v="133"/>
    <x v="32"/>
    <x v="0"/>
    <n v="9"/>
    <n v="1"/>
    <x v="13"/>
    <x v="15"/>
    <x v="2"/>
    <x v="1"/>
  </r>
  <r>
    <x v="2"/>
    <n v="134"/>
    <x v="33"/>
    <x v="0"/>
    <n v="8.6999999999999993"/>
    <n v="0.7"/>
    <x v="1"/>
    <x v="4"/>
    <x v="1"/>
    <x v="1"/>
  </r>
  <r>
    <x v="2"/>
    <n v="135"/>
    <x v="34"/>
    <x v="0"/>
    <n v="9"/>
    <n v="1"/>
    <x v="11"/>
    <x v="5"/>
    <x v="0"/>
    <x v="2"/>
  </r>
  <r>
    <x v="2"/>
    <n v="136"/>
    <x v="35"/>
    <x v="0"/>
    <n v="9"/>
    <n v="1"/>
    <x v="3"/>
    <x v="3"/>
    <x v="0"/>
    <x v="2"/>
  </r>
  <r>
    <x v="3"/>
    <n v="137"/>
    <x v="36"/>
    <x v="0"/>
    <n v="9"/>
    <n v="1"/>
    <x v="26"/>
    <x v="11"/>
    <x v="0"/>
    <x v="0"/>
  </r>
  <r>
    <x v="3"/>
    <n v="138"/>
    <x v="37"/>
    <x v="0"/>
    <n v="9"/>
    <n v="1"/>
    <x v="8"/>
    <x v="8"/>
    <x v="2"/>
    <x v="1"/>
  </r>
  <r>
    <x v="3"/>
    <n v="139"/>
    <x v="38"/>
    <x v="0"/>
    <n v="9"/>
    <n v="1"/>
    <x v="10"/>
    <x v="4"/>
    <x v="0"/>
    <x v="1"/>
  </r>
  <r>
    <x v="3"/>
    <n v="140"/>
    <x v="39"/>
    <x v="0"/>
    <n v="9"/>
    <n v="1"/>
    <x v="27"/>
    <x v="5"/>
    <x v="0"/>
    <x v="2"/>
  </r>
  <r>
    <x v="3"/>
    <n v="141"/>
    <x v="40"/>
    <x v="0"/>
    <n v="9"/>
    <n v="1"/>
    <x v="0"/>
    <x v="6"/>
    <x v="0"/>
    <x v="2"/>
  </r>
  <r>
    <x v="3"/>
    <n v="142"/>
    <x v="41"/>
    <x v="0"/>
    <n v="8.6"/>
    <n v="0.6"/>
    <x v="28"/>
    <x v="1"/>
    <x v="1"/>
    <x v="1"/>
  </r>
  <r>
    <x v="3"/>
    <n v="143"/>
    <x v="42"/>
    <x v="0"/>
    <n v="9"/>
    <n v="1"/>
    <x v="18"/>
    <x v="3"/>
    <x v="0"/>
    <x v="2"/>
  </r>
  <r>
    <x v="3"/>
    <n v="144"/>
    <x v="43"/>
    <x v="0"/>
    <n v="9"/>
    <n v="1"/>
    <x v="22"/>
    <x v="5"/>
    <x v="0"/>
    <x v="2"/>
  </r>
  <r>
    <x v="3"/>
    <n v="145"/>
    <x v="44"/>
    <x v="2"/>
    <n v="8.5"/>
    <n v="0.5"/>
    <x v="29"/>
    <x v="7"/>
    <x v="1"/>
    <x v="1"/>
  </r>
  <r>
    <x v="3"/>
    <n v="146"/>
    <x v="45"/>
    <x v="0"/>
    <n v="9"/>
    <n v="1"/>
    <x v="15"/>
    <x v="8"/>
    <x v="0"/>
    <x v="2"/>
  </r>
  <r>
    <x v="3"/>
    <n v="147"/>
    <x v="46"/>
    <x v="0"/>
    <n v="9"/>
    <n v="1"/>
    <x v="14"/>
    <x v="3"/>
    <x v="0"/>
    <x v="2"/>
  </r>
  <r>
    <x v="3"/>
    <n v="148"/>
    <x v="47"/>
    <x v="0"/>
    <n v="9"/>
    <n v="1"/>
    <x v="13"/>
    <x v="15"/>
    <x v="2"/>
    <x v="1"/>
  </r>
  <r>
    <x v="3"/>
    <n v="149"/>
    <x v="48"/>
    <x v="0"/>
    <n v="9"/>
    <n v="1"/>
    <x v="17"/>
    <x v="5"/>
    <x v="0"/>
    <x v="2"/>
  </r>
  <r>
    <x v="3"/>
    <n v="150"/>
    <x v="49"/>
    <x v="0"/>
    <n v="9"/>
    <n v="1"/>
    <x v="12"/>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76C482-F239-4706-B2B1-81236E561B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7:B22" firstHeaderRow="1" firstDataRow="1" firstDataCol="1"/>
  <pivotFields count="10">
    <pivotField showAll="0">
      <items count="5">
        <item x="0"/>
        <item x="1"/>
        <item x="2"/>
        <item x="3"/>
        <item t="default"/>
      </items>
    </pivotField>
    <pivotField dataField="1" showAll="0"/>
    <pivotField showAll="0"/>
    <pivotField axis="axisRow" showAll="0">
      <items count="5">
        <item x="2"/>
        <item x="3"/>
        <item x="0"/>
        <item x="1"/>
        <item t="default"/>
      </items>
    </pivotField>
    <pivotField showAll="0"/>
    <pivotField showAll="0"/>
    <pivotField showAll="0"/>
    <pivotField showAll="0"/>
    <pivotField showAll="0">
      <items count="4">
        <item x="1"/>
        <item x="2"/>
        <item x="0"/>
        <item t="default"/>
      </items>
    </pivotField>
    <pivotField showAll="0"/>
  </pivotFields>
  <rowFields count="1">
    <field x="3"/>
  </rowFields>
  <rowItems count="5">
    <i>
      <x/>
    </i>
    <i>
      <x v="1"/>
    </i>
    <i>
      <x v="2"/>
    </i>
    <i>
      <x v="3"/>
    </i>
    <i t="grand">
      <x/>
    </i>
  </rowItems>
  <colItems count="1">
    <i/>
  </colItems>
  <dataFields count="1">
    <dataField name="Count of EMP ID " fld="1" subtotal="count" baseField="3"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713F49-FE40-4D0F-8ABD-A4AC5EA1DC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E15" firstHeaderRow="1" firstDataRow="2" firstDataCol="1"/>
  <pivotFields count="10">
    <pivotField axis="axisRow" showAll="0">
      <items count="5">
        <item x="0"/>
        <item x="1"/>
        <item x="2"/>
        <item x="3"/>
        <item t="default"/>
      </items>
    </pivotField>
    <pivotField dataField="1" showAll="0"/>
    <pivotField showAll="0"/>
    <pivotField showAll="0">
      <items count="5">
        <item x="2"/>
        <item x="3"/>
        <item x="0"/>
        <item x="1"/>
        <item t="default"/>
      </items>
    </pivotField>
    <pivotField showAll="0"/>
    <pivotField showAll="0"/>
    <pivotField showAll="0"/>
    <pivotField showAll="0"/>
    <pivotField axis="axisCol" showAll="0">
      <items count="4">
        <item x="0"/>
        <item x="2"/>
        <item x="1"/>
        <item t="default"/>
      </items>
    </pivotField>
    <pivotField showAll="0"/>
  </pivotFields>
  <rowFields count="1">
    <field x="0"/>
  </rowFields>
  <rowItems count="5">
    <i>
      <x/>
    </i>
    <i>
      <x v="1"/>
    </i>
    <i>
      <x v="2"/>
    </i>
    <i>
      <x v="3"/>
    </i>
    <i t="grand">
      <x/>
    </i>
  </rowItems>
  <colFields count="1">
    <field x="8"/>
  </colFields>
  <colItems count="4">
    <i>
      <x/>
    </i>
    <i>
      <x v="1"/>
    </i>
    <i>
      <x v="2"/>
    </i>
    <i t="grand">
      <x/>
    </i>
  </colItems>
  <dataFields count="1">
    <dataField name="Count of EMP ID " fld="1" subtotal="count" baseField="0" baseItem="0"/>
  </dataFields>
  <chartFormats count="4">
    <chartFormat chart="5" format="6" series="1">
      <pivotArea type="data" outline="0" fieldPosition="0">
        <references count="2">
          <reference field="4294967294" count="1" selected="0">
            <x v="0"/>
          </reference>
          <reference field="8" count="1" selected="0">
            <x v="0"/>
          </reference>
        </references>
      </pivotArea>
    </chartFormat>
    <chartFormat chart="5" format="7" series="1">
      <pivotArea type="data" outline="0" fieldPosition="0">
        <references count="2">
          <reference field="4294967294" count="1" selected="0">
            <x v="0"/>
          </reference>
          <reference field="8" count="1" selected="0">
            <x v="1"/>
          </reference>
        </references>
      </pivotArea>
    </chartFormat>
    <chartFormat chart="5" format="8" series="1">
      <pivotArea type="data" outline="0" fieldPosition="0">
        <references count="2">
          <reference field="4294967294" count="1" selected="0">
            <x v="0"/>
          </reference>
          <reference field="8" count="1" selected="0">
            <x v="2"/>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B95AE1-F78E-40C6-A45B-0EBE960E62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10">
    <pivotField showAll="0">
      <items count="5">
        <item x="0"/>
        <item x="1"/>
        <item x="2"/>
        <item x="3"/>
        <item t="default"/>
      </items>
    </pivotField>
    <pivotField dataField="1" showAll="0"/>
    <pivotField showAll="0"/>
    <pivotField showAll="0">
      <items count="5">
        <item x="2"/>
        <item x="3"/>
        <item x="0"/>
        <item x="1"/>
        <item t="default"/>
      </items>
    </pivotField>
    <pivotField showAll="0"/>
    <pivotField showAll="0"/>
    <pivotField showAll="0"/>
    <pivotField showAll="0"/>
    <pivotField axis="axisRow" showAll="0">
      <items count="4">
        <item x="1"/>
        <item x="2"/>
        <item x="0"/>
        <item t="default"/>
      </items>
    </pivotField>
    <pivotField showAll="0"/>
  </pivotFields>
  <rowFields count="1">
    <field x="8"/>
  </rowFields>
  <rowItems count="4">
    <i>
      <x/>
    </i>
    <i>
      <x v="1"/>
    </i>
    <i>
      <x v="2"/>
    </i>
    <i t="grand">
      <x/>
    </i>
  </rowItems>
  <colItems count="1">
    <i/>
  </colItems>
  <dataFields count="1">
    <dataField name="Count of EMP ID " fld="1" subtotal="count"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9AC825-343C-4616-BB43-A218990A383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B37" firstHeaderRow="1" firstDataRow="1" firstDataCol="1"/>
  <pivotFields count="10">
    <pivotField axis="axisRow" showAll="0">
      <items count="5">
        <item x="0"/>
        <item x="1"/>
        <item x="2"/>
        <item x="3"/>
        <item t="default"/>
      </items>
    </pivotField>
    <pivotField showAll="0"/>
    <pivotField showAll="0"/>
    <pivotField showAll="0">
      <items count="5">
        <item x="2"/>
        <item x="3"/>
        <item x="0"/>
        <item x="1"/>
        <item t="default"/>
      </items>
    </pivotField>
    <pivotField showAll="0"/>
    <pivotField showAll="0"/>
    <pivotField dataField="1" showAll="0"/>
    <pivotField showAll="0"/>
    <pivotField showAll="0">
      <items count="4">
        <item x="1"/>
        <item x="2"/>
        <item x="0"/>
        <item t="default"/>
      </items>
    </pivotField>
    <pivotField showAll="0"/>
  </pivotFields>
  <rowFields count="1">
    <field x="0"/>
  </rowFields>
  <rowItems count="5">
    <i>
      <x/>
    </i>
    <i>
      <x v="1"/>
    </i>
    <i>
      <x v="2"/>
    </i>
    <i>
      <x v="3"/>
    </i>
    <i t="grand">
      <x/>
    </i>
  </rowItems>
  <colItems count="1">
    <i/>
  </colItems>
  <dataFields count="1">
    <dataField name="Sum of Calls" fld="6" baseField="0" baseItem="0"/>
  </dataFields>
  <chartFormats count="11">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7"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4B1D69-4783-446B-B49E-224F0B315CC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E30" firstHeaderRow="1" firstDataRow="2" firstDataCol="1"/>
  <pivotFields count="10">
    <pivotField axis="axisRow" showAll="0">
      <items count="5">
        <item x="0"/>
        <item x="1"/>
        <item x="2"/>
        <item x="3"/>
        <item t="default"/>
      </items>
    </pivotField>
    <pivotField dataField="1" showAll="0"/>
    <pivotField showAll="0"/>
    <pivotField showAll="0">
      <items count="5">
        <item x="2"/>
        <item x="3"/>
        <item x="0"/>
        <item x="1"/>
        <item t="default"/>
      </items>
    </pivotField>
    <pivotField showAll="0"/>
    <pivotField showAll="0"/>
    <pivotField showAll="0"/>
    <pivotField showAll="0"/>
    <pivotField showAll="0">
      <items count="4">
        <item x="1"/>
        <item x="2"/>
        <item x="0"/>
        <item t="default"/>
      </items>
    </pivotField>
    <pivotField axis="axisCol" showAll="0">
      <items count="4">
        <item x="0"/>
        <item x="2"/>
        <item x="1"/>
        <item t="default"/>
      </items>
    </pivotField>
  </pivotFields>
  <rowFields count="1">
    <field x="0"/>
  </rowFields>
  <rowItems count="5">
    <i>
      <x/>
    </i>
    <i>
      <x v="1"/>
    </i>
    <i>
      <x v="2"/>
    </i>
    <i>
      <x v="3"/>
    </i>
    <i t="grand">
      <x/>
    </i>
  </rowItems>
  <colFields count="1">
    <field x="9"/>
  </colFields>
  <colItems count="4">
    <i>
      <x/>
    </i>
    <i>
      <x v="1"/>
    </i>
    <i>
      <x v="2"/>
    </i>
    <i t="grand">
      <x/>
    </i>
  </colItems>
  <dataFields count="1">
    <dataField name="Count of EMP ID " fld="1" subtotal="count" baseField="0" baseItem="0"/>
  </dataFields>
  <chartFormats count="4">
    <chartFormat chart="2" format="6" series="1">
      <pivotArea type="data" outline="0" fieldPosition="0">
        <references count="2">
          <reference field="4294967294" count="1" selected="0">
            <x v="0"/>
          </reference>
          <reference field="9" count="1" selected="0">
            <x v="0"/>
          </reference>
        </references>
      </pivotArea>
    </chartFormat>
    <chartFormat chart="2" format="7" series="1">
      <pivotArea type="data" outline="0" fieldPosition="0">
        <references count="2">
          <reference field="4294967294" count="1" selected="0">
            <x v="0"/>
          </reference>
          <reference field="9" count="1" selected="0">
            <x v="1"/>
          </reference>
        </references>
      </pivotArea>
    </chartFormat>
    <chartFormat chart="2" format="8" series="1">
      <pivotArea type="data" outline="0" fieldPosition="0">
        <references count="2">
          <reference field="4294967294" count="1" selected="0">
            <x v="0"/>
          </reference>
          <reference field="9"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CAE12771-AD67-454F-A97C-DA821EC2F5C0}" sourceName="Team">
  <pivotTables>
    <pivotTable tabId="14" name="PivotTable5"/>
    <pivotTable tabId="14" name="PivotTable1"/>
    <pivotTable tabId="14" name="PivotTable2"/>
    <pivotTable tabId="14" name="PivotTable3"/>
    <pivotTable tabId="14" name="PivotTable4"/>
  </pivotTables>
  <data>
    <tabular pivotCacheId="25821346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0DD15D61-1BD0-473E-A335-81A340FFC274}" sourceName="Attendance">
  <pivotTables>
    <pivotTable tabId="14" name="PivotTable5"/>
    <pivotTable tabId="14" name="PivotTable1"/>
    <pivotTable tabId="14" name="PivotTable2"/>
    <pivotTable tabId="14" name="PivotTable3"/>
    <pivotTable tabId="14" name="PivotTable4"/>
  </pivotTables>
  <data>
    <tabular pivotCacheId="25821346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dback" xr10:uid="{4065895D-DF0C-4F1A-8D32-681CF81EC4CD}" sourceName="Feedback">
  <pivotTables>
    <pivotTable tabId="14" name="PivotTable5"/>
    <pivotTable tabId="14" name="PivotTable1"/>
    <pivotTable tabId="14" name="PivotTable2"/>
    <pivotTable tabId="14" name="PivotTable3"/>
    <pivotTable tabId="14" name="PivotTable4"/>
  </pivotTables>
  <data>
    <tabular pivotCacheId="25821346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3989ECE1-0119-40F7-9577-D5434EBCC302}" cache="Slicer_Team" caption="Team" style="SlicerStyleDark6" lockedPosition="1" rowHeight="234950"/>
  <slicer name="Attendance" xr10:uid="{7379BA1E-10E8-4412-898E-01B0EEF493FF}" cache="Slicer_Attendance" caption="Attendance" style="SlicerStyleDark6" lockedPosition="1" rowHeight="234950"/>
  <slicer name="Feedback" xr10:uid="{192E34CC-8305-43EE-B36A-03974DB6FF26}" cache="Slicer_Feedback" caption="Feedback" style="SlicerStyleDark6" lockedPosition="1"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55C1D-C3F2-47DE-9DAE-3EE263C9908D}">
  <sheetPr>
    <tabColor theme="9"/>
  </sheetPr>
  <dimension ref="A1:C27"/>
  <sheetViews>
    <sheetView showGridLines="0" showRowColHeaders="0" tabSelected="1" zoomScaleNormal="100" workbookViewId="0">
      <selection activeCell="H16" sqref="H16"/>
    </sheetView>
  </sheetViews>
  <sheetFormatPr defaultRowHeight="14.4" x14ac:dyDescent="0.3"/>
  <cols>
    <col min="1" max="16384" width="8.88671875" style="11"/>
  </cols>
  <sheetData>
    <row r="1" spans="1:3" s="13" customFormat="1" x14ac:dyDescent="0.3">
      <c r="A1" s="12"/>
    </row>
    <row r="2" spans="1:3" s="13" customFormat="1" x14ac:dyDescent="0.3"/>
    <row r="3" spans="1:3" s="13" customFormat="1" x14ac:dyDescent="0.3"/>
    <row r="4" spans="1:3" s="13" customFormat="1" x14ac:dyDescent="0.3"/>
    <row r="5" spans="1:3" s="13" customFormat="1" x14ac:dyDescent="0.3"/>
    <row r="15" spans="1:3" x14ac:dyDescent="0.3">
      <c r="C15" s="11" t="s">
        <v>92</v>
      </c>
    </row>
    <row r="27" spans="2:3" x14ac:dyDescent="0.3">
      <c r="B27" s="11" t="s">
        <v>91</v>
      </c>
      <c r="C27" s="11" t="s">
        <v>91</v>
      </c>
    </row>
  </sheetData>
  <sheetProtection algorithmName="SHA-512" hashValue="/HynehmKhudxAQFeKAvkZx5zcqZQ3sqCPp+Frrp/RIkGNC0lUO11UezFjnYGx61O6uF0FRfPiGzZthdi+U0IdQ==" saltValue="/0Oe/XJA01EZAbcOAGu8eA==" spinCount="100000" sheet="1" objects="1" scenarios="1" selectLockedCells="1"/>
  <mergeCells count="1">
    <mergeCell ref="A1:XFD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2B75-5B17-4D83-97E3-34C9D3377ED6}">
  <sheetPr>
    <tabColor theme="1" tint="0.499984740745262"/>
  </sheetPr>
  <dimension ref="A1:J56"/>
  <sheetViews>
    <sheetView workbookViewId="0">
      <selection activeCell="M22" sqref="M22"/>
    </sheetView>
  </sheetViews>
  <sheetFormatPr defaultRowHeight="14.4" x14ac:dyDescent="0.3"/>
  <cols>
    <col min="1" max="1" width="15.5546875" customWidth="1"/>
    <col min="2" max="3" width="10.33203125" customWidth="1"/>
    <col min="4" max="4" width="12.6640625" customWidth="1"/>
    <col min="5" max="5" width="10.88671875" customWidth="1"/>
    <col min="6" max="6" width="6.77734375" customWidth="1"/>
    <col min="7" max="7" width="7.109375" customWidth="1"/>
    <col min="8" max="9" width="10.33203125" customWidth="1"/>
    <col min="10" max="10" width="17.77734375" customWidth="1"/>
  </cols>
  <sheetData>
    <row r="1" spans="1:10" x14ac:dyDescent="0.3">
      <c r="A1" s="9" t="s">
        <v>81</v>
      </c>
      <c r="B1" s="9" t="s">
        <v>84</v>
      </c>
      <c r="C1" s="14" t="s">
        <v>80</v>
      </c>
      <c r="D1" s="15"/>
      <c r="E1" s="15"/>
      <c r="F1" s="15"/>
      <c r="G1" s="15"/>
      <c r="H1" s="15"/>
      <c r="I1" s="15"/>
      <c r="J1" s="15"/>
    </row>
    <row r="2" spans="1:10" x14ac:dyDescent="0.3">
      <c r="A2" s="5" t="s">
        <v>85</v>
      </c>
      <c r="B2" s="6">
        <f>COUNT(B7:B56)</f>
        <v>50</v>
      </c>
      <c r="C2" s="16"/>
      <c r="D2" s="15"/>
      <c r="E2" s="15"/>
      <c r="F2" s="15"/>
      <c r="G2" s="15"/>
      <c r="H2" s="15"/>
      <c r="I2" s="15"/>
      <c r="J2" s="15"/>
    </row>
    <row r="3" spans="1:10" x14ac:dyDescent="0.3">
      <c r="A3" s="5" t="s">
        <v>76</v>
      </c>
      <c r="B3" s="6">
        <f>SUM(G7:G56)</f>
        <v>2833</v>
      </c>
      <c r="C3" s="16"/>
      <c r="D3" s="15"/>
      <c r="E3" s="15"/>
      <c r="F3" s="15"/>
      <c r="G3" s="15"/>
      <c r="H3" s="15"/>
      <c r="I3" s="15"/>
      <c r="J3" s="15"/>
    </row>
    <row r="4" spans="1:10" x14ac:dyDescent="0.3">
      <c r="A4" s="5" t="s">
        <v>78</v>
      </c>
      <c r="B4" s="6">
        <f>AVERAGE(H7:H56)</f>
        <v>878.3</v>
      </c>
      <c r="C4" s="16"/>
      <c r="D4" s="15"/>
      <c r="E4" s="15"/>
      <c r="F4" s="15"/>
      <c r="G4" s="15"/>
      <c r="H4" s="15"/>
      <c r="I4" s="15"/>
      <c r="J4" s="15"/>
    </row>
    <row r="5" spans="1:10" x14ac:dyDescent="0.3">
      <c r="A5" s="7" t="s">
        <v>79</v>
      </c>
      <c r="B5" s="8">
        <f>COUNTIF(I7:I56,"Positive")</f>
        <v>33</v>
      </c>
      <c r="C5" s="16"/>
      <c r="D5" s="15"/>
      <c r="E5" s="15"/>
      <c r="F5" s="15"/>
      <c r="G5" s="15"/>
      <c r="H5" s="15"/>
      <c r="I5" s="15"/>
      <c r="J5" s="15"/>
    </row>
    <row r="6" spans="1:10" x14ac:dyDescent="0.3">
      <c r="A6" s="10" t="s">
        <v>15</v>
      </c>
      <c r="B6" s="10" t="s">
        <v>82</v>
      </c>
      <c r="C6" s="10" t="s">
        <v>14</v>
      </c>
      <c r="D6" s="10" t="s">
        <v>5</v>
      </c>
      <c r="E6" s="10" t="s">
        <v>10</v>
      </c>
      <c r="F6" s="10" t="s">
        <v>11</v>
      </c>
      <c r="G6" s="10" t="s">
        <v>77</v>
      </c>
      <c r="H6" s="10" t="s">
        <v>83</v>
      </c>
      <c r="I6" s="10" t="s">
        <v>70</v>
      </c>
      <c r="J6" s="10" t="s">
        <v>71</v>
      </c>
    </row>
    <row r="7" spans="1:10" x14ac:dyDescent="0.3">
      <c r="A7" s="4" t="s">
        <v>17</v>
      </c>
      <c r="B7" s="4">
        <v>101</v>
      </c>
      <c r="C7" s="4" t="str">
        <f>VLOOKUP(B7,'Teams Detail'!A2:C51,2,TRUE)</f>
        <v>Rahul</v>
      </c>
      <c r="D7" s="4" t="str">
        <f>VLOOKUP(B7,'Attendence(HR)'!A2:B51,2,TRUE)</f>
        <v>Present</v>
      </c>
      <c r="E7" s="4">
        <f>VLOOKUP(B7,'Login Report(WFM)'!A2:C51,2,TRUE)</f>
        <v>9</v>
      </c>
      <c r="F7" s="4">
        <f>VLOOKUP(B7,'Login Report(WFM)'!A2:C51,3,TRUE)</f>
        <v>1</v>
      </c>
      <c r="G7" s="4">
        <f>VLOOKUP(B7,'Calls Report'!A2:C51,3,TRUE)</f>
        <v>60</v>
      </c>
      <c r="H7" s="4">
        <f>VLOOKUP(B7,'Calls Report'!A2:C51,2,TRUE)</f>
        <v>850</v>
      </c>
      <c r="I7" s="4" t="str">
        <f>VLOOKUP(B7,'Cutomer Feedback'!A2:B51,2,TRUE)</f>
        <v>Positive</v>
      </c>
      <c r="J7" s="4" t="str">
        <f>IF(AND(G7&gt;=50,H7&lt;=850,I7="Positive"),"Top Performer",IF(AND(G7&gt;=50,H7&lt;=900,I7="Positive"),"Good Performer","Needs Improvement"))</f>
        <v>Top Performer</v>
      </c>
    </row>
    <row r="8" spans="1:10" x14ac:dyDescent="0.3">
      <c r="A8" s="4" t="s">
        <v>17</v>
      </c>
      <c r="B8" s="4">
        <v>102</v>
      </c>
      <c r="C8" s="4" t="str">
        <f>VLOOKUP(B8,'Teams Detail'!A3:C52,2,TRUE)</f>
        <v>Amit</v>
      </c>
      <c r="D8" s="4" t="str">
        <f>VLOOKUP(B8,'Attendence(HR)'!A3:B52,2,TRUE)</f>
        <v>Present</v>
      </c>
      <c r="E8" s="4">
        <f>VLOOKUP(B8,'Login Report(WFM)'!A3:C52,2,TRUE)</f>
        <v>8.5</v>
      </c>
      <c r="F8" s="4">
        <f>VLOOKUP(B8,'Login Report(WFM)'!A3:C52,3,TRUE)</f>
        <v>0.5</v>
      </c>
      <c r="G8" s="4">
        <f>VLOOKUP(B8,'Calls Report'!A3:C52,3,TRUE)</f>
        <v>45</v>
      </c>
      <c r="H8" s="4">
        <f>VLOOKUP(B8,'Calls Report'!A3:C52,2,TRUE)</f>
        <v>920</v>
      </c>
      <c r="I8" s="4" t="str">
        <f>VLOOKUP(B8,'Cutomer Feedback'!A3:B52,2,TRUE)</f>
        <v>Negative</v>
      </c>
      <c r="J8" s="4" t="str">
        <f t="shared" ref="J8:J56" si="0">IF(AND(G8&gt;=50,H8&lt;=850,I8="Positive"),"Top Performer",IF(AND(G8&gt;=50,H8&lt;=900,I8="Positive"),"Good Performer","Needs Improvement"))</f>
        <v>Needs Improvement</v>
      </c>
    </row>
    <row r="9" spans="1:10" x14ac:dyDescent="0.3">
      <c r="A9" s="4" t="s">
        <v>17</v>
      </c>
      <c r="B9" s="4">
        <v>103</v>
      </c>
      <c r="C9" s="4" t="str">
        <f>VLOOKUP(B9,'Teams Detail'!A4:C53,2,TRUE)</f>
        <v>Neha</v>
      </c>
      <c r="D9" s="4" t="str">
        <f>VLOOKUP(B9,'Attendence(HR)'!A4:B53,2,TRUE)</f>
        <v>Present</v>
      </c>
      <c r="E9" s="4">
        <f>VLOOKUP(B9,'Login Report(WFM)'!A4:C53,2,TRUE)</f>
        <v>9</v>
      </c>
      <c r="F9" s="4">
        <f>VLOOKUP(B9,'Login Report(WFM)'!A4:C53,3,TRUE)</f>
        <v>1</v>
      </c>
      <c r="G9" s="4">
        <f>VLOOKUP(B9,'Calls Report'!A4:C53,3,TRUE)</f>
        <v>70</v>
      </c>
      <c r="H9" s="4">
        <f>VLOOKUP(B9,'Calls Report'!A4:C53,2,TRUE)</f>
        <v>780</v>
      </c>
      <c r="I9" s="4" t="str">
        <f>VLOOKUP(B9,'Cutomer Feedback'!A4:B53,2,TRUE)</f>
        <v>Positive</v>
      </c>
      <c r="J9" s="4" t="str">
        <f t="shared" si="0"/>
        <v>Top Performer</v>
      </c>
    </row>
    <row r="10" spans="1:10" x14ac:dyDescent="0.3">
      <c r="A10" s="4" t="s">
        <v>17</v>
      </c>
      <c r="B10" s="4">
        <v>104</v>
      </c>
      <c r="C10" s="4" t="str">
        <f>VLOOKUP(B10,'Teams Detail'!A5:C54,2,TRUE)</f>
        <v>Priya</v>
      </c>
      <c r="D10" s="4" t="str">
        <f>VLOOKUP(B10,'Attendence(HR)'!A5:B54,2,TRUE)</f>
        <v>Week Off</v>
      </c>
      <c r="E10" s="4">
        <f>VLOOKUP(B10,'Login Report(WFM)'!A5:C54,2,TRUE)</f>
        <v>9</v>
      </c>
      <c r="F10" s="4">
        <f>VLOOKUP(B10,'Login Report(WFM)'!A5:C54,3,TRUE)</f>
        <v>1</v>
      </c>
      <c r="G10" s="4">
        <f>VLOOKUP(B10,'Calls Report'!A5:C54,3,TRUE)</f>
        <v>55</v>
      </c>
      <c r="H10" s="4">
        <f>VLOOKUP(B10,'Calls Report'!A5:C54,2,TRUE)</f>
        <v>880</v>
      </c>
      <c r="I10" s="4" t="str">
        <f>VLOOKUP(B10,'Cutomer Feedback'!A5:B54,2,TRUE)</f>
        <v>Neutral</v>
      </c>
      <c r="J10" s="4" t="str">
        <f t="shared" si="0"/>
        <v>Needs Improvement</v>
      </c>
    </row>
    <row r="11" spans="1:10" x14ac:dyDescent="0.3">
      <c r="A11" s="4" t="s">
        <v>17</v>
      </c>
      <c r="B11" s="4">
        <v>105</v>
      </c>
      <c r="C11" s="4" t="str">
        <f>VLOOKUP(B11,'Teams Detail'!A6:C55,2,TRUE)</f>
        <v>Rohit</v>
      </c>
      <c r="D11" s="4" t="str">
        <f>VLOOKUP(B11,'Attendence(HR)'!A6:B55,2,TRUE)</f>
        <v>Present</v>
      </c>
      <c r="E11" s="4">
        <f>VLOOKUP(B11,'Login Report(WFM)'!A6:C55,2,TRUE)</f>
        <v>9</v>
      </c>
      <c r="F11" s="4">
        <f>VLOOKUP(B11,'Login Report(WFM)'!A6:C55,3,TRUE)</f>
        <v>1</v>
      </c>
      <c r="G11" s="4">
        <f>VLOOKUP(B11,'Calls Report'!A6:C55,3,TRUE)</f>
        <v>52</v>
      </c>
      <c r="H11" s="4">
        <f>VLOOKUP(B11,'Calls Report'!A6:C55,2,TRUE)</f>
        <v>910</v>
      </c>
      <c r="I11" s="4" t="str">
        <f>VLOOKUP(B11,'Cutomer Feedback'!A6:B55,2,TRUE)</f>
        <v>Positive</v>
      </c>
      <c r="J11" s="4" t="str">
        <f t="shared" si="0"/>
        <v>Needs Improvement</v>
      </c>
    </row>
    <row r="12" spans="1:10" x14ac:dyDescent="0.3">
      <c r="A12" s="4" t="s">
        <v>17</v>
      </c>
      <c r="B12" s="4">
        <v>106</v>
      </c>
      <c r="C12" s="4" t="str">
        <f>VLOOKUP(B12,'Teams Detail'!A7:C56,2,TRUE)</f>
        <v>Sonia</v>
      </c>
      <c r="D12" s="4" t="str">
        <f>VLOOKUP(B12,'Attendence(HR)'!A7:B56,2,TRUE)</f>
        <v>Present</v>
      </c>
      <c r="E12" s="4">
        <f>VLOOKUP(B12,'Login Report(WFM)'!A7:C56,2,TRUE)</f>
        <v>8.8000000000000007</v>
      </c>
      <c r="F12" s="4">
        <f>VLOOKUP(B12,'Login Report(WFM)'!A7:C56,3,TRUE)</f>
        <v>0.8</v>
      </c>
      <c r="G12" s="4">
        <f>VLOOKUP(B12,'Calls Report'!A7:C56,3,TRUE)</f>
        <v>48</v>
      </c>
      <c r="H12" s="4">
        <f>VLOOKUP(B12,'Calls Report'!A7:C56,2,TRUE)</f>
        <v>870</v>
      </c>
      <c r="I12" s="4" t="str">
        <f>VLOOKUP(B12,'Cutomer Feedback'!A7:B56,2,TRUE)</f>
        <v>Negative</v>
      </c>
      <c r="J12" s="4" t="str">
        <f t="shared" si="0"/>
        <v>Needs Improvement</v>
      </c>
    </row>
    <row r="13" spans="1:10" x14ac:dyDescent="0.3">
      <c r="A13" s="4" t="s">
        <v>17</v>
      </c>
      <c r="B13" s="4">
        <v>107</v>
      </c>
      <c r="C13" s="4" t="str">
        <f>VLOOKUP(B13,'Teams Detail'!A8:C57,2,TRUE)</f>
        <v>Vikas</v>
      </c>
      <c r="D13" s="4" t="str">
        <f>VLOOKUP(B13,'Attendence(HR)'!A8:B57,2,TRUE)</f>
        <v>Present</v>
      </c>
      <c r="E13" s="4">
        <f>VLOOKUP(B13,'Login Report(WFM)'!A8:C57,2,TRUE)</f>
        <v>9</v>
      </c>
      <c r="F13" s="4">
        <f>VLOOKUP(B13,'Login Report(WFM)'!A8:C57,3,TRUE)</f>
        <v>1</v>
      </c>
      <c r="G13" s="4">
        <f>VLOOKUP(B13,'Calls Report'!A8:C57,3,TRUE)</f>
        <v>65</v>
      </c>
      <c r="H13" s="4">
        <f>VLOOKUP(B13,'Calls Report'!A8:C57,2,TRUE)</f>
        <v>890</v>
      </c>
      <c r="I13" s="4" t="str">
        <f>VLOOKUP(B13,'Cutomer Feedback'!A8:B57,2,TRUE)</f>
        <v>Positive</v>
      </c>
      <c r="J13" s="4" t="str">
        <f t="shared" si="0"/>
        <v>Good Performer</v>
      </c>
    </row>
    <row r="14" spans="1:10" x14ac:dyDescent="0.3">
      <c r="A14" s="4" t="s">
        <v>17</v>
      </c>
      <c r="B14" s="4">
        <v>108</v>
      </c>
      <c r="C14" s="4" t="str">
        <f>VLOOKUP(B14,'Teams Detail'!A9:C58,2,TRUE)</f>
        <v>Karan</v>
      </c>
      <c r="D14" s="4" t="str">
        <f>VLOOKUP(B14,'Attendence(HR)'!A9:B58,2,TRUE)</f>
        <v>Absent</v>
      </c>
      <c r="E14" s="4">
        <f>VLOOKUP(B14,'Login Report(WFM)'!A9:C58,2,TRUE)</f>
        <v>8.5</v>
      </c>
      <c r="F14" s="4">
        <f>VLOOKUP(B14,'Login Report(WFM)'!A9:C58,3,TRUE)</f>
        <v>0.5</v>
      </c>
      <c r="G14" s="4">
        <f>VLOOKUP(B14,'Calls Report'!A9:C58,3,TRUE)</f>
        <v>40</v>
      </c>
      <c r="H14" s="4">
        <f>VLOOKUP(B14,'Calls Report'!A9:C58,2,TRUE)</f>
        <v>940</v>
      </c>
      <c r="I14" s="4" t="str">
        <f>VLOOKUP(B14,'Cutomer Feedback'!A9:B58,2,TRUE)</f>
        <v>Negative</v>
      </c>
      <c r="J14" s="4" t="str">
        <f t="shared" si="0"/>
        <v>Needs Improvement</v>
      </c>
    </row>
    <row r="15" spans="1:10" x14ac:dyDescent="0.3">
      <c r="A15" s="4" t="s">
        <v>17</v>
      </c>
      <c r="B15" s="4">
        <v>109</v>
      </c>
      <c r="C15" s="4" t="str">
        <f>VLOOKUP(B15,'Teams Detail'!A10:C59,2,TRUE)</f>
        <v>Anjali</v>
      </c>
      <c r="D15" s="4" t="str">
        <f>VLOOKUP(B15,'Attendence(HR)'!A10:B59,2,TRUE)</f>
        <v>Present</v>
      </c>
      <c r="E15" s="4">
        <f>VLOOKUP(B15,'Login Report(WFM)'!A10:C59,2,TRUE)</f>
        <v>9</v>
      </c>
      <c r="F15" s="4">
        <f>VLOOKUP(B15,'Login Report(WFM)'!A10:C59,3,TRUE)</f>
        <v>1</v>
      </c>
      <c r="G15" s="4">
        <f>VLOOKUP(B15,'Calls Report'!A10:C59,3,TRUE)</f>
        <v>58</v>
      </c>
      <c r="H15" s="4">
        <f>VLOOKUP(B15,'Calls Report'!A10:C59,2,TRUE)</f>
        <v>860</v>
      </c>
      <c r="I15" s="4" t="str">
        <f>VLOOKUP(B15,'Cutomer Feedback'!A10:B59,2,TRUE)</f>
        <v>Positive</v>
      </c>
      <c r="J15" s="4" t="str">
        <f t="shared" si="0"/>
        <v>Good Performer</v>
      </c>
    </row>
    <row r="16" spans="1:10" x14ac:dyDescent="0.3">
      <c r="A16" s="4" t="s">
        <v>17</v>
      </c>
      <c r="B16" s="4">
        <v>110</v>
      </c>
      <c r="C16" s="4" t="str">
        <f>VLOOKUP(B16,'Teams Detail'!A11:C60,2,TRUE)</f>
        <v>Deepak</v>
      </c>
      <c r="D16" s="4" t="str">
        <f>VLOOKUP(B16,'Attendence(HR)'!A11:B60,2,TRUE)</f>
        <v>Present</v>
      </c>
      <c r="E16" s="4">
        <f>VLOOKUP(B16,'Login Report(WFM)'!A11:C60,2,TRUE)</f>
        <v>9</v>
      </c>
      <c r="F16" s="4">
        <f>VLOOKUP(B16,'Login Report(WFM)'!A11:C60,3,TRUE)</f>
        <v>1</v>
      </c>
      <c r="G16" s="4">
        <f>VLOOKUP(B16,'Calls Report'!A11:C60,3,TRUE)</f>
        <v>75</v>
      </c>
      <c r="H16" s="4">
        <f>VLOOKUP(B16,'Calls Report'!A11:C60,2,TRUE)</f>
        <v>800</v>
      </c>
      <c r="I16" s="4" t="str">
        <f>VLOOKUP(B16,'Cutomer Feedback'!A11:B60,2,TRUE)</f>
        <v>Positive</v>
      </c>
      <c r="J16" s="4" t="str">
        <f t="shared" si="0"/>
        <v>Top Performer</v>
      </c>
    </row>
    <row r="17" spans="1:10" x14ac:dyDescent="0.3">
      <c r="A17" s="4" t="s">
        <v>17</v>
      </c>
      <c r="B17" s="4">
        <v>111</v>
      </c>
      <c r="C17" s="4" t="str">
        <f>VLOOKUP(B17,'Teams Detail'!A12:C61,2,TRUE)</f>
        <v>Manoj</v>
      </c>
      <c r="D17" s="4" t="str">
        <f>VLOOKUP(B17,'Attendence(HR)'!A12:B61,2,TRUE)</f>
        <v>Present</v>
      </c>
      <c r="E17" s="4">
        <f>VLOOKUP(B17,'Login Report(WFM)'!A12:C61,2,TRUE)</f>
        <v>8.6999999999999993</v>
      </c>
      <c r="F17" s="4">
        <f>VLOOKUP(B17,'Login Report(WFM)'!A12:C61,3,TRUE)</f>
        <v>0.7</v>
      </c>
      <c r="G17" s="4">
        <f>VLOOKUP(B17,'Calls Report'!A12:C61,3,TRUE)</f>
        <v>49</v>
      </c>
      <c r="H17" s="4">
        <f>VLOOKUP(B17,'Calls Report'!A12:C61,2,TRUE)</f>
        <v>905</v>
      </c>
      <c r="I17" s="4" t="str">
        <f>VLOOKUP(B17,'Cutomer Feedback'!A12:B61,2,TRUE)</f>
        <v>Neutral</v>
      </c>
      <c r="J17" s="4" t="str">
        <f t="shared" si="0"/>
        <v>Needs Improvement</v>
      </c>
    </row>
    <row r="18" spans="1:10" x14ac:dyDescent="0.3">
      <c r="A18" s="4" t="s">
        <v>17</v>
      </c>
      <c r="B18" s="4">
        <v>112</v>
      </c>
      <c r="C18" s="4" t="str">
        <f>VLOOKUP(B18,'Teams Detail'!A13:C62,2,TRUE)</f>
        <v>Pooja</v>
      </c>
      <c r="D18" s="4" t="str">
        <f>VLOOKUP(B18,'Attendence(HR)'!A13:B62,2,TRUE)</f>
        <v>Present</v>
      </c>
      <c r="E18" s="4">
        <f>VLOOKUP(B18,'Login Report(WFM)'!A13:C62,2,TRUE)</f>
        <v>9</v>
      </c>
      <c r="F18" s="4">
        <f>VLOOKUP(B18,'Login Report(WFM)'!A13:C62,3,TRUE)</f>
        <v>1</v>
      </c>
      <c r="G18" s="4">
        <f>VLOOKUP(B18,'Calls Report'!A13:C62,3,TRUE)</f>
        <v>62</v>
      </c>
      <c r="H18" s="4">
        <f>VLOOKUP(B18,'Calls Report'!A13:C62,2,TRUE)</f>
        <v>870</v>
      </c>
      <c r="I18" s="4" t="str">
        <f>VLOOKUP(B18,'Cutomer Feedback'!A13:B62,2,TRUE)</f>
        <v>Positive</v>
      </c>
      <c r="J18" s="4" t="str">
        <f t="shared" si="0"/>
        <v>Good Performer</v>
      </c>
    </row>
    <row r="19" spans="1:10" x14ac:dyDescent="0.3">
      <c r="A19" s="4" t="s">
        <v>30</v>
      </c>
      <c r="B19" s="4">
        <v>113</v>
      </c>
      <c r="C19" s="4" t="str">
        <f>VLOOKUP(B19,'Teams Detail'!A14:C63,2,TRUE)</f>
        <v>Sachin</v>
      </c>
      <c r="D19" s="4" t="str">
        <f>VLOOKUP(B19,'Attendence(HR)'!A14:B63,2,TRUE)</f>
        <v>Present</v>
      </c>
      <c r="E19" s="4">
        <f>VLOOKUP(B19,'Login Report(WFM)'!A14:C63,2,TRUE)</f>
        <v>9</v>
      </c>
      <c r="F19" s="4">
        <f>VLOOKUP(B19,'Login Report(WFM)'!A14:C63,3,TRUE)</f>
        <v>1</v>
      </c>
      <c r="G19" s="4">
        <f>VLOOKUP(B19,'Calls Report'!A14:C63,3,TRUE)</f>
        <v>68</v>
      </c>
      <c r="H19" s="4">
        <f>VLOOKUP(B19,'Calls Report'!A14:C63,2,TRUE)</f>
        <v>830</v>
      </c>
      <c r="I19" s="4" t="str">
        <f>VLOOKUP(B19,'Cutomer Feedback'!A14:B63,2,TRUE)</f>
        <v>Positive</v>
      </c>
      <c r="J19" s="4" t="str">
        <f t="shared" si="0"/>
        <v>Top Performer</v>
      </c>
    </row>
    <row r="20" spans="1:10" x14ac:dyDescent="0.3">
      <c r="A20" s="4" t="s">
        <v>30</v>
      </c>
      <c r="B20" s="4">
        <v>114</v>
      </c>
      <c r="C20" s="4" t="str">
        <f>VLOOKUP(B20,'Teams Detail'!A15:C64,2,TRUE)</f>
        <v>Kavita</v>
      </c>
      <c r="D20" s="4" t="str">
        <f>VLOOKUP(B20,'Attendence(HR)'!A15:B64,2,TRUE)</f>
        <v>Present</v>
      </c>
      <c r="E20" s="4">
        <f>VLOOKUP(B20,'Login Report(WFM)'!A15:C64,2,TRUE)</f>
        <v>9</v>
      </c>
      <c r="F20" s="4">
        <f>VLOOKUP(B20,'Login Report(WFM)'!A15:C64,3,TRUE)</f>
        <v>1</v>
      </c>
      <c r="G20" s="4">
        <f>VLOOKUP(B20,'Calls Report'!A15:C64,3,TRUE)</f>
        <v>50</v>
      </c>
      <c r="H20" s="4">
        <f>VLOOKUP(B20,'Calls Report'!A15:C64,2,TRUE)</f>
        <v>910</v>
      </c>
      <c r="I20" s="4" t="str">
        <f>VLOOKUP(B20,'Cutomer Feedback'!A15:B64,2,TRUE)</f>
        <v>Negative</v>
      </c>
      <c r="J20" s="4" t="str">
        <f t="shared" si="0"/>
        <v>Needs Improvement</v>
      </c>
    </row>
    <row r="21" spans="1:10" x14ac:dyDescent="0.3">
      <c r="A21" s="4" t="s">
        <v>30</v>
      </c>
      <c r="B21" s="4">
        <v>115</v>
      </c>
      <c r="C21" s="4" t="str">
        <f>VLOOKUP(B21,'Teams Detail'!A16:C65,2,TRUE)</f>
        <v>Arjun</v>
      </c>
      <c r="D21" s="4" t="str">
        <f>VLOOKUP(B21,'Attendence(HR)'!A16:B65,2,TRUE)</f>
        <v>Planned Leave</v>
      </c>
      <c r="E21" s="4">
        <f>VLOOKUP(B21,'Login Report(WFM)'!A16:C65,2,TRUE)</f>
        <v>9</v>
      </c>
      <c r="F21" s="4">
        <f>VLOOKUP(B21,'Login Report(WFM)'!A16:C65,3,TRUE)</f>
        <v>1</v>
      </c>
      <c r="G21" s="4">
        <f>VLOOKUP(B21,'Calls Report'!A16:C65,3,TRUE)</f>
        <v>53</v>
      </c>
      <c r="H21" s="4">
        <f>VLOOKUP(B21,'Calls Report'!A16:C65,2,TRUE)</f>
        <v>880</v>
      </c>
      <c r="I21" s="4" t="str">
        <f>VLOOKUP(B21,'Cutomer Feedback'!A16:B65,2,TRUE)</f>
        <v>Positive</v>
      </c>
      <c r="J21" s="4" t="str">
        <f t="shared" si="0"/>
        <v>Good Performer</v>
      </c>
    </row>
    <row r="22" spans="1:10" x14ac:dyDescent="0.3">
      <c r="A22" s="4" t="s">
        <v>30</v>
      </c>
      <c r="B22" s="4">
        <v>116</v>
      </c>
      <c r="C22" s="4" t="str">
        <f>VLOOKUP(B22,'Teams Detail'!A17:C66,2,TRUE)</f>
        <v>Nisha</v>
      </c>
      <c r="D22" s="4" t="str">
        <f>VLOOKUP(B22,'Attendence(HR)'!A17:B66,2,TRUE)</f>
        <v>Present</v>
      </c>
      <c r="E22" s="4">
        <f>VLOOKUP(B22,'Login Report(WFM)'!A17:C66,2,TRUE)</f>
        <v>8.9</v>
      </c>
      <c r="F22" s="4">
        <f>VLOOKUP(B22,'Login Report(WFM)'!A17:C66,3,TRUE)</f>
        <v>0.9</v>
      </c>
      <c r="G22" s="4">
        <f>VLOOKUP(B22,'Calls Report'!A17:C66,3,TRUE)</f>
        <v>59</v>
      </c>
      <c r="H22" s="4">
        <f>VLOOKUP(B22,'Calls Report'!A17:C66,2,TRUE)</f>
        <v>870</v>
      </c>
      <c r="I22" s="4" t="str">
        <f>VLOOKUP(B22,'Cutomer Feedback'!A17:B66,2,TRUE)</f>
        <v>Positive</v>
      </c>
      <c r="J22" s="4" t="str">
        <f t="shared" si="0"/>
        <v>Good Performer</v>
      </c>
    </row>
    <row r="23" spans="1:10" x14ac:dyDescent="0.3">
      <c r="A23" s="4" t="s">
        <v>30</v>
      </c>
      <c r="B23" s="4">
        <v>117</v>
      </c>
      <c r="C23" s="4" t="str">
        <f>VLOOKUP(B23,'Teams Detail'!A18:C67,2,TRUE)</f>
        <v>Ramesh</v>
      </c>
      <c r="D23" s="4" t="str">
        <f>VLOOKUP(B23,'Attendence(HR)'!A18:B67,2,TRUE)</f>
        <v>Present</v>
      </c>
      <c r="E23" s="4">
        <f>VLOOKUP(B23,'Login Report(WFM)'!A18:C67,2,TRUE)</f>
        <v>8.6</v>
      </c>
      <c r="F23" s="4">
        <f>VLOOKUP(B23,'Login Report(WFM)'!A18:C67,3,TRUE)</f>
        <v>0.6</v>
      </c>
      <c r="G23" s="4">
        <f>VLOOKUP(B23,'Calls Report'!A18:C67,3,TRUE)</f>
        <v>44</v>
      </c>
      <c r="H23" s="4">
        <f>VLOOKUP(B23,'Calls Report'!A18:C67,2,TRUE)</f>
        <v>920</v>
      </c>
      <c r="I23" s="4" t="str">
        <f>VLOOKUP(B23,'Cutomer Feedback'!A18:B67,2,TRUE)</f>
        <v>Negative</v>
      </c>
      <c r="J23" s="4" t="str">
        <f t="shared" si="0"/>
        <v>Needs Improvement</v>
      </c>
    </row>
    <row r="24" spans="1:10" x14ac:dyDescent="0.3">
      <c r="A24" s="4" t="s">
        <v>30</v>
      </c>
      <c r="B24" s="4">
        <v>118</v>
      </c>
      <c r="C24" s="4" t="str">
        <f>VLOOKUP(B24,'Teams Detail'!A19:C68,2,TRUE)</f>
        <v>Seema</v>
      </c>
      <c r="D24" s="4" t="str">
        <f>VLOOKUP(B24,'Attendence(HR)'!A19:B68,2,TRUE)</f>
        <v>Present</v>
      </c>
      <c r="E24" s="4">
        <f>VLOOKUP(B24,'Login Report(WFM)'!A19:C68,2,TRUE)</f>
        <v>9</v>
      </c>
      <c r="F24" s="4">
        <f>VLOOKUP(B24,'Login Report(WFM)'!A19:C68,3,TRUE)</f>
        <v>1</v>
      </c>
      <c r="G24" s="4">
        <f>VLOOKUP(B24,'Calls Report'!A19:C68,3,TRUE)</f>
        <v>66</v>
      </c>
      <c r="H24" s="4">
        <f>VLOOKUP(B24,'Calls Report'!A19:C68,2,TRUE)</f>
        <v>840</v>
      </c>
      <c r="I24" s="4" t="str">
        <f>VLOOKUP(B24,'Cutomer Feedback'!A19:B68,2,TRUE)</f>
        <v>Positive</v>
      </c>
      <c r="J24" s="4" t="str">
        <f t="shared" si="0"/>
        <v>Top Performer</v>
      </c>
    </row>
    <row r="25" spans="1:10" x14ac:dyDescent="0.3">
      <c r="A25" s="4" t="s">
        <v>30</v>
      </c>
      <c r="B25" s="4">
        <v>119</v>
      </c>
      <c r="C25" s="4" t="str">
        <f>VLOOKUP(B25,'Teams Detail'!A20:C69,2,TRUE)</f>
        <v>Vinay</v>
      </c>
      <c r="D25" s="4" t="str">
        <f>VLOOKUP(B25,'Attendence(HR)'!A20:B69,2,TRUE)</f>
        <v>Present</v>
      </c>
      <c r="E25" s="4">
        <f>VLOOKUP(B25,'Login Report(WFM)'!A20:C69,2,TRUE)</f>
        <v>9</v>
      </c>
      <c r="F25" s="4">
        <f>VLOOKUP(B25,'Login Report(WFM)'!A20:C69,3,TRUE)</f>
        <v>1</v>
      </c>
      <c r="G25" s="4">
        <f>VLOOKUP(B25,'Calls Report'!A20:C69,3,TRUE)</f>
        <v>57</v>
      </c>
      <c r="H25" s="4">
        <f>VLOOKUP(B25,'Calls Report'!A20:C69,2,TRUE)</f>
        <v>860</v>
      </c>
      <c r="I25" s="4" t="str">
        <f>VLOOKUP(B25,'Cutomer Feedback'!A20:B69,2,TRUE)</f>
        <v>Positive</v>
      </c>
      <c r="J25" s="4" t="str">
        <f t="shared" si="0"/>
        <v>Good Performer</v>
      </c>
    </row>
    <row r="26" spans="1:10" x14ac:dyDescent="0.3">
      <c r="A26" s="4" t="s">
        <v>30</v>
      </c>
      <c r="B26" s="4">
        <v>120</v>
      </c>
      <c r="C26" s="4" t="str">
        <f>VLOOKUP(B26,'Teams Detail'!A21:C70,2,TRUE)</f>
        <v>Tina</v>
      </c>
      <c r="D26" s="4" t="str">
        <f>VLOOKUP(B26,'Attendence(HR)'!A21:B70,2,TRUE)</f>
        <v>Present</v>
      </c>
      <c r="E26" s="4">
        <f>VLOOKUP(B26,'Login Report(WFM)'!A21:C70,2,TRUE)</f>
        <v>9</v>
      </c>
      <c r="F26" s="4">
        <f>VLOOKUP(B26,'Login Report(WFM)'!A21:C70,3,TRUE)</f>
        <v>1</v>
      </c>
      <c r="G26" s="4">
        <f>VLOOKUP(B26,'Calls Report'!A21:C70,3,TRUE)</f>
        <v>60</v>
      </c>
      <c r="H26" s="4">
        <f>VLOOKUP(B26,'Calls Report'!A21:C70,2,TRUE)</f>
        <v>890</v>
      </c>
      <c r="I26" s="4" t="str">
        <f>VLOOKUP(B26,'Cutomer Feedback'!A21:B70,2,TRUE)</f>
        <v>Positive</v>
      </c>
      <c r="J26" s="4" t="str">
        <f t="shared" si="0"/>
        <v>Good Performer</v>
      </c>
    </row>
    <row r="27" spans="1:10" x14ac:dyDescent="0.3">
      <c r="A27" s="4" t="s">
        <v>30</v>
      </c>
      <c r="B27" s="4">
        <v>121</v>
      </c>
      <c r="C27" s="4" t="str">
        <f>VLOOKUP(B27,'Teams Detail'!A22:C71,2,TRUE)</f>
        <v>Sunil</v>
      </c>
      <c r="D27" s="4" t="str">
        <f>VLOOKUP(B27,'Attendence(HR)'!A22:B71,2,TRUE)</f>
        <v>Present</v>
      </c>
      <c r="E27" s="4">
        <f>VLOOKUP(B27,'Login Report(WFM)'!A22:C71,2,TRUE)</f>
        <v>9</v>
      </c>
      <c r="F27" s="4">
        <f>VLOOKUP(B27,'Login Report(WFM)'!A22:C71,3,TRUE)</f>
        <v>1</v>
      </c>
      <c r="G27" s="4">
        <f>VLOOKUP(B27,'Calls Report'!A22:C71,3,TRUE)</f>
        <v>55</v>
      </c>
      <c r="H27" s="4">
        <f>VLOOKUP(B27,'Calls Report'!A22:C71,2,TRUE)</f>
        <v>880</v>
      </c>
      <c r="I27" s="4" t="str">
        <f>VLOOKUP(B27,'Cutomer Feedback'!A22:B71,2,TRUE)</f>
        <v>Neutral</v>
      </c>
      <c r="J27" s="4" t="str">
        <f t="shared" si="0"/>
        <v>Needs Improvement</v>
      </c>
    </row>
    <row r="28" spans="1:10" x14ac:dyDescent="0.3">
      <c r="A28" s="4" t="s">
        <v>30</v>
      </c>
      <c r="B28" s="4">
        <v>122</v>
      </c>
      <c r="C28" s="4" t="str">
        <f>VLOOKUP(B28,'Teams Detail'!A23:C72,2,TRUE)</f>
        <v>Payal</v>
      </c>
      <c r="D28" s="4" t="str">
        <f>VLOOKUP(B28,'Attendence(HR)'!A23:B72,2,TRUE)</f>
        <v>Present</v>
      </c>
      <c r="E28" s="4">
        <f>VLOOKUP(B28,'Login Report(WFM)'!A23:C72,2,TRUE)</f>
        <v>9</v>
      </c>
      <c r="F28" s="4">
        <f>VLOOKUP(B28,'Login Report(WFM)'!A23:C72,3,TRUE)</f>
        <v>1</v>
      </c>
      <c r="G28" s="4">
        <f>VLOOKUP(B28,'Calls Report'!A23:C72,3,TRUE)</f>
        <v>52</v>
      </c>
      <c r="H28" s="4">
        <f>VLOOKUP(B28,'Calls Report'!A23:C72,2,TRUE)</f>
        <v>910</v>
      </c>
      <c r="I28" s="4" t="str">
        <f>VLOOKUP(B28,'Cutomer Feedback'!A23:B72,2,TRUE)</f>
        <v>Positive</v>
      </c>
      <c r="J28" s="4" t="str">
        <f t="shared" si="0"/>
        <v>Needs Improvement</v>
      </c>
    </row>
    <row r="29" spans="1:10" x14ac:dyDescent="0.3">
      <c r="A29" s="4" t="s">
        <v>30</v>
      </c>
      <c r="B29" s="4">
        <v>123</v>
      </c>
      <c r="C29" s="4" t="str">
        <f>VLOOKUP(B29,'Teams Detail'!A24:C73,2,TRUE)</f>
        <v>Ajay</v>
      </c>
      <c r="D29" s="4" t="str">
        <f>VLOOKUP(B29,'Attendence(HR)'!A24:B73,2,TRUE)</f>
        <v>Present</v>
      </c>
      <c r="E29" s="4">
        <f>VLOOKUP(B29,'Login Report(WFM)'!A24:C73,2,TRUE)</f>
        <v>9</v>
      </c>
      <c r="F29" s="4">
        <f>VLOOKUP(B29,'Login Report(WFM)'!A24:C73,3,TRUE)</f>
        <v>1</v>
      </c>
      <c r="G29" s="4">
        <f>VLOOKUP(B29,'Calls Report'!A24:C73,3,TRUE)</f>
        <v>63</v>
      </c>
      <c r="H29" s="4">
        <f>VLOOKUP(B29,'Calls Report'!A24:C73,2,TRUE)</f>
        <v>870</v>
      </c>
      <c r="I29" s="4" t="str">
        <f>VLOOKUP(B29,'Cutomer Feedback'!A24:B73,2,TRUE)</f>
        <v>Positive</v>
      </c>
      <c r="J29" s="4" t="str">
        <f t="shared" si="0"/>
        <v>Good Performer</v>
      </c>
    </row>
    <row r="30" spans="1:10" x14ac:dyDescent="0.3">
      <c r="A30" s="4" t="s">
        <v>30</v>
      </c>
      <c r="B30" s="4">
        <v>124</v>
      </c>
      <c r="C30" s="4" t="str">
        <f>VLOOKUP(B30,'Teams Detail'!A25:C74,2,TRUE)</f>
        <v>Ritu</v>
      </c>
      <c r="D30" s="4" t="str">
        <f>VLOOKUP(B30,'Attendence(HR)'!A25:B74,2,TRUE)</f>
        <v>Absent</v>
      </c>
      <c r="E30" s="4">
        <f>VLOOKUP(B30,'Login Report(WFM)'!A25:C74,2,TRUE)</f>
        <v>8.4</v>
      </c>
      <c r="F30" s="4">
        <f>VLOOKUP(B30,'Login Report(WFM)'!A25:C74,3,TRUE)</f>
        <v>0.4</v>
      </c>
      <c r="G30" s="4">
        <f>VLOOKUP(B30,'Calls Report'!A25:C74,3,TRUE)</f>
        <v>38</v>
      </c>
      <c r="H30" s="4">
        <f>VLOOKUP(B30,'Calls Report'!A25:C74,2,TRUE)</f>
        <v>950</v>
      </c>
      <c r="I30" s="4" t="str">
        <f>VLOOKUP(B30,'Cutomer Feedback'!A25:B74,2,TRUE)</f>
        <v>Negative</v>
      </c>
      <c r="J30" s="4" t="str">
        <f t="shared" si="0"/>
        <v>Needs Improvement</v>
      </c>
    </row>
    <row r="31" spans="1:10" x14ac:dyDescent="0.3">
      <c r="A31" s="4" t="s">
        <v>43</v>
      </c>
      <c r="B31" s="4">
        <v>125</v>
      </c>
      <c r="C31" s="4" t="str">
        <f>VLOOKUP(B31,'Teams Detail'!A26:C75,2,TRUE)</f>
        <v>Naveen</v>
      </c>
      <c r="D31" s="4" t="str">
        <f>VLOOKUP(B31,'Attendence(HR)'!A26:B75,2,TRUE)</f>
        <v>Present</v>
      </c>
      <c r="E31" s="4">
        <f>VLOOKUP(B31,'Login Report(WFM)'!A26:C75,2,TRUE)</f>
        <v>9</v>
      </c>
      <c r="F31" s="4">
        <f>VLOOKUP(B31,'Login Report(WFM)'!A26:C75,3,TRUE)</f>
        <v>1</v>
      </c>
      <c r="G31" s="4">
        <f>VLOOKUP(B31,'Calls Report'!A26:C75,3,TRUE)</f>
        <v>70</v>
      </c>
      <c r="H31" s="4">
        <f>VLOOKUP(B31,'Calls Report'!A26:C75,2,TRUE)</f>
        <v>820</v>
      </c>
      <c r="I31" s="4" t="str">
        <f>VLOOKUP(B31,'Cutomer Feedback'!A26:B75,2,TRUE)</f>
        <v>Positive</v>
      </c>
      <c r="J31" s="4" t="str">
        <f t="shared" si="0"/>
        <v>Top Performer</v>
      </c>
    </row>
    <row r="32" spans="1:10" x14ac:dyDescent="0.3">
      <c r="A32" s="4" t="s">
        <v>43</v>
      </c>
      <c r="B32" s="4">
        <v>126</v>
      </c>
      <c r="C32" s="4" t="str">
        <f>VLOOKUP(B32,'Teams Detail'!A27:C76,2,TRUE)</f>
        <v>Komal</v>
      </c>
      <c r="D32" s="4" t="str">
        <f>VLOOKUP(B32,'Attendence(HR)'!A27:B76,2,TRUE)</f>
        <v>Present</v>
      </c>
      <c r="E32" s="4">
        <f>VLOOKUP(B32,'Login Report(WFM)'!A27:C76,2,TRUE)</f>
        <v>9</v>
      </c>
      <c r="F32" s="4">
        <f>VLOOKUP(B32,'Login Report(WFM)'!A27:C76,3,TRUE)</f>
        <v>1</v>
      </c>
      <c r="G32" s="4">
        <f>VLOOKUP(B32,'Calls Report'!A27:C76,3,TRUE)</f>
        <v>54</v>
      </c>
      <c r="H32" s="4">
        <f>VLOOKUP(B32,'Calls Report'!A27:C76,2,TRUE)</f>
        <v>860</v>
      </c>
      <c r="I32" s="4" t="str">
        <f>VLOOKUP(B32,'Cutomer Feedback'!A27:B76,2,TRUE)</f>
        <v>Positive</v>
      </c>
      <c r="J32" s="4" t="str">
        <f t="shared" si="0"/>
        <v>Good Performer</v>
      </c>
    </row>
    <row r="33" spans="1:10" x14ac:dyDescent="0.3">
      <c r="A33" s="4" t="s">
        <v>43</v>
      </c>
      <c r="B33" s="4">
        <v>127</v>
      </c>
      <c r="C33" s="4" t="str">
        <f>VLOOKUP(B33,'Teams Detail'!A28:C77,2,TRUE)</f>
        <v>Alok</v>
      </c>
      <c r="D33" s="4" t="str">
        <f>VLOOKUP(B33,'Attendence(HR)'!A28:B77,2,TRUE)</f>
        <v>Present</v>
      </c>
      <c r="E33" s="4">
        <f>VLOOKUP(B33,'Login Report(WFM)'!A28:C77,2,TRUE)</f>
        <v>9</v>
      </c>
      <c r="F33" s="4">
        <f>VLOOKUP(B33,'Login Report(WFM)'!A28:C77,3,TRUE)</f>
        <v>1</v>
      </c>
      <c r="G33" s="4">
        <f>VLOOKUP(B33,'Calls Report'!A28:C77,3,TRUE)</f>
        <v>58</v>
      </c>
      <c r="H33" s="4">
        <f>VLOOKUP(B33,'Calls Report'!A28:C77,2,TRUE)</f>
        <v>890</v>
      </c>
      <c r="I33" s="4" t="str">
        <f>VLOOKUP(B33,'Cutomer Feedback'!A28:B77,2,TRUE)</f>
        <v>Neutral</v>
      </c>
      <c r="J33" s="4" t="str">
        <f t="shared" si="0"/>
        <v>Needs Improvement</v>
      </c>
    </row>
    <row r="34" spans="1:10" x14ac:dyDescent="0.3">
      <c r="A34" s="4" t="s">
        <v>43</v>
      </c>
      <c r="B34" s="4">
        <v>128</v>
      </c>
      <c r="C34" s="4" t="str">
        <f>VLOOKUP(B34,'Teams Detail'!A29:C78,2,TRUE)</f>
        <v>Meena</v>
      </c>
      <c r="D34" s="4" t="str">
        <f>VLOOKUP(B34,'Attendence(HR)'!A29:B78,2,TRUE)</f>
        <v>Present</v>
      </c>
      <c r="E34" s="4">
        <f>VLOOKUP(B34,'Login Report(WFM)'!A29:C78,2,TRUE)</f>
        <v>9</v>
      </c>
      <c r="F34" s="4">
        <f>VLOOKUP(B34,'Login Report(WFM)'!A29:C78,3,TRUE)</f>
        <v>1</v>
      </c>
      <c r="G34" s="4">
        <f>VLOOKUP(B34,'Calls Report'!A29:C78,3,TRUE)</f>
        <v>61</v>
      </c>
      <c r="H34" s="4">
        <f>VLOOKUP(B34,'Calls Report'!A29:C78,2,TRUE)</f>
        <v>870</v>
      </c>
      <c r="I34" s="4" t="str">
        <f>VLOOKUP(B34,'Cutomer Feedback'!A29:B78,2,TRUE)</f>
        <v>Positive</v>
      </c>
      <c r="J34" s="4" t="str">
        <f t="shared" si="0"/>
        <v>Good Performer</v>
      </c>
    </row>
    <row r="35" spans="1:10" x14ac:dyDescent="0.3">
      <c r="A35" s="4" t="s">
        <v>43</v>
      </c>
      <c r="B35" s="4">
        <v>129</v>
      </c>
      <c r="C35" s="4" t="str">
        <f>VLOOKUP(B35,'Teams Detail'!A30:C79,2,TRUE)</f>
        <v>Gaurav</v>
      </c>
      <c r="D35" s="4" t="str">
        <f>VLOOKUP(B35,'Attendence(HR)'!A30:B79,2,TRUE)</f>
        <v>Present</v>
      </c>
      <c r="E35" s="4">
        <f>VLOOKUP(B35,'Login Report(WFM)'!A30:C79,2,TRUE)</f>
        <v>9</v>
      </c>
      <c r="F35" s="4">
        <f>VLOOKUP(B35,'Login Report(WFM)'!A30:C79,3,TRUE)</f>
        <v>1</v>
      </c>
      <c r="G35" s="4">
        <f>VLOOKUP(B35,'Calls Report'!A30:C79,3,TRUE)</f>
        <v>56</v>
      </c>
      <c r="H35" s="4">
        <f>VLOOKUP(B35,'Calls Report'!A30:C79,2,TRUE)</f>
        <v>880</v>
      </c>
      <c r="I35" s="4" t="str">
        <f>VLOOKUP(B35,'Cutomer Feedback'!A30:B79,2,TRUE)</f>
        <v>Positive</v>
      </c>
      <c r="J35" s="4" t="str">
        <f t="shared" si="0"/>
        <v>Good Performer</v>
      </c>
    </row>
    <row r="36" spans="1:10" x14ac:dyDescent="0.3">
      <c r="A36" s="4" t="s">
        <v>43</v>
      </c>
      <c r="B36" s="4">
        <v>130</v>
      </c>
      <c r="C36" s="4" t="str">
        <f>VLOOKUP(B36,'Teams Detail'!A31:C80,2,TRUE)</f>
        <v>Rekha</v>
      </c>
      <c r="D36" s="4" t="str">
        <f>VLOOKUP(B36,'Attendence(HR)'!A31:B80,2,TRUE)</f>
        <v>Present</v>
      </c>
      <c r="E36" s="4">
        <f>VLOOKUP(B36,'Login Report(WFM)'!A31:C80,2,TRUE)</f>
        <v>8.5</v>
      </c>
      <c r="F36" s="4">
        <f>VLOOKUP(B36,'Login Report(WFM)'!A31:C80,3,TRUE)</f>
        <v>0.5</v>
      </c>
      <c r="G36" s="4">
        <f>VLOOKUP(B36,'Calls Report'!A31:C80,3,TRUE)</f>
        <v>47</v>
      </c>
      <c r="H36" s="4">
        <f>VLOOKUP(B36,'Calls Report'!A31:C80,2,TRUE)</f>
        <v>920</v>
      </c>
      <c r="I36" s="4" t="str">
        <f>VLOOKUP(B36,'Cutomer Feedback'!A31:B80,2,TRUE)</f>
        <v>Negative</v>
      </c>
      <c r="J36" s="4" t="str">
        <f t="shared" si="0"/>
        <v>Needs Improvement</v>
      </c>
    </row>
    <row r="37" spans="1:10" x14ac:dyDescent="0.3">
      <c r="A37" s="4" t="s">
        <v>43</v>
      </c>
      <c r="B37" s="4">
        <v>131</v>
      </c>
      <c r="C37" s="4" t="str">
        <f>VLOOKUP(B37,'Teams Detail'!A32:C81,2,TRUE)</f>
        <v>Mohit</v>
      </c>
      <c r="D37" s="4" t="str">
        <f>VLOOKUP(B37,'Attendence(HR)'!A32:B81,2,TRUE)</f>
        <v>Present</v>
      </c>
      <c r="E37" s="4">
        <f>VLOOKUP(B37,'Login Report(WFM)'!A32:C81,2,TRUE)</f>
        <v>9</v>
      </c>
      <c r="F37" s="4">
        <f>VLOOKUP(B37,'Login Report(WFM)'!A32:C81,3,TRUE)</f>
        <v>1</v>
      </c>
      <c r="G37" s="4">
        <f>VLOOKUP(B37,'Calls Report'!A32:C81,3,TRUE)</f>
        <v>67</v>
      </c>
      <c r="H37" s="4">
        <f>VLOOKUP(B37,'Calls Report'!A32:C81,2,TRUE)</f>
        <v>840</v>
      </c>
      <c r="I37" s="4" t="str">
        <f>VLOOKUP(B37,'Cutomer Feedback'!A32:B81,2,TRUE)</f>
        <v>Positive</v>
      </c>
      <c r="J37" s="4" t="str">
        <f t="shared" si="0"/>
        <v>Top Performer</v>
      </c>
    </row>
    <row r="38" spans="1:10" x14ac:dyDescent="0.3">
      <c r="A38" s="4" t="s">
        <v>43</v>
      </c>
      <c r="B38" s="4">
        <v>132</v>
      </c>
      <c r="C38" s="4" t="str">
        <f>VLOOKUP(B38,'Teams Detail'!A33:C82,2,TRUE)</f>
        <v>Sapna</v>
      </c>
      <c r="D38" s="4" t="str">
        <f>VLOOKUP(B38,'Attendence(HR)'!A33:B82,2,TRUE)</f>
        <v>Present</v>
      </c>
      <c r="E38" s="4">
        <f>VLOOKUP(B38,'Login Report(WFM)'!A33:C82,2,TRUE)</f>
        <v>9</v>
      </c>
      <c r="F38" s="4">
        <f>VLOOKUP(B38,'Login Report(WFM)'!A33:C82,3,TRUE)</f>
        <v>1</v>
      </c>
      <c r="G38" s="4">
        <f>VLOOKUP(B38,'Calls Report'!A33:C82,3,TRUE)</f>
        <v>59</v>
      </c>
      <c r="H38" s="4">
        <f>VLOOKUP(B38,'Calls Report'!A33:C82,2,TRUE)</f>
        <v>860</v>
      </c>
      <c r="I38" s="4" t="str">
        <f>VLOOKUP(B38,'Cutomer Feedback'!A33:B82,2,TRUE)</f>
        <v>Positive</v>
      </c>
      <c r="J38" s="4" t="str">
        <f t="shared" si="0"/>
        <v>Good Performer</v>
      </c>
    </row>
    <row r="39" spans="1:10" x14ac:dyDescent="0.3">
      <c r="A39" s="4" t="s">
        <v>43</v>
      </c>
      <c r="B39" s="4">
        <v>133</v>
      </c>
      <c r="C39" s="4" t="str">
        <f>VLOOKUP(B39,'Teams Detail'!A34:C83,2,TRUE)</f>
        <v>Rajesh</v>
      </c>
      <c r="D39" s="4" t="str">
        <f>VLOOKUP(B39,'Attendence(HR)'!A34:B83,2,TRUE)</f>
        <v>Present</v>
      </c>
      <c r="E39" s="4">
        <f>VLOOKUP(B39,'Login Report(WFM)'!A34:C83,2,TRUE)</f>
        <v>9</v>
      </c>
      <c r="F39" s="4">
        <f>VLOOKUP(B39,'Login Report(WFM)'!A34:C83,3,TRUE)</f>
        <v>1</v>
      </c>
      <c r="G39" s="4">
        <f>VLOOKUP(B39,'Calls Report'!A34:C83,3,TRUE)</f>
        <v>50</v>
      </c>
      <c r="H39" s="4">
        <f>VLOOKUP(B39,'Calls Report'!A34:C83,2,TRUE)</f>
        <v>900</v>
      </c>
      <c r="I39" s="4" t="str">
        <f>VLOOKUP(B39,'Cutomer Feedback'!A34:B83,2,TRUE)</f>
        <v>Neutral</v>
      </c>
      <c r="J39" s="4" t="str">
        <f t="shared" si="0"/>
        <v>Needs Improvement</v>
      </c>
    </row>
    <row r="40" spans="1:10" x14ac:dyDescent="0.3">
      <c r="A40" s="4" t="s">
        <v>43</v>
      </c>
      <c r="B40" s="4">
        <v>134</v>
      </c>
      <c r="C40" s="4" t="str">
        <f>VLOOKUP(B40,'Teams Detail'!A35:C84,2,TRUE)</f>
        <v>Pinki</v>
      </c>
      <c r="D40" s="4" t="str">
        <f>VLOOKUP(B40,'Attendence(HR)'!A35:B84,2,TRUE)</f>
        <v>Present</v>
      </c>
      <c r="E40" s="4">
        <f>VLOOKUP(B40,'Login Report(WFM)'!A35:C84,2,TRUE)</f>
        <v>8.6999999999999993</v>
      </c>
      <c r="F40" s="4">
        <f>VLOOKUP(B40,'Login Report(WFM)'!A35:C84,3,TRUE)</f>
        <v>0.7</v>
      </c>
      <c r="G40" s="4">
        <f>VLOOKUP(B40,'Calls Report'!A35:C84,3,TRUE)</f>
        <v>45</v>
      </c>
      <c r="H40" s="4">
        <f>VLOOKUP(B40,'Calls Report'!A35:C84,2,TRUE)</f>
        <v>910</v>
      </c>
      <c r="I40" s="4" t="str">
        <f>VLOOKUP(B40,'Cutomer Feedback'!A35:B84,2,TRUE)</f>
        <v>Negative</v>
      </c>
      <c r="J40" s="4" t="str">
        <f t="shared" si="0"/>
        <v>Needs Improvement</v>
      </c>
    </row>
    <row r="41" spans="1:10" x14ac:dyDescent="0.3">
      <c r="A41" s="4" t="s">
        <v>43</v>
      </c>
      <c r="B41" s="4">
        <v>135</v>
      </c>
      <c r="C41" s="4" t="str">
        <f>VLOOKUP(B41,'Teams Detail'!A36:C85,2,TRUE)</f>
        <v>Ankit</v>
      </c>
      <c r="D41" s="4" t="str">
        <f>VLOOKUP(B41,'Attendence(HR)'!A36:B85,2,TRUE)</f>
        <v>Present</v>
      </c>
      <c r="E41" s="4">
        <f>VLOOKUP(B41,'Login Report(WFM)'!A36:C85,2,TRUE)</f>
        <v>9</v>
      </c>
      <c r="F41" s="4">
        <f>VLOOKUP(B41,'Login Report(WFM)'!A36:C85,3,TRUE)</f>
        <v>1</v>
      </c>
      <c r="G41" s="4">
        <f>VLOOKUP(B41,'Calls Report'!A36:C85,3,TRUE)</f>
        <v>62</v>
      </c>
      <c r="H41" s="4">
        <f>VLOOKUP(B41,'Calls Report'!A36:C85,2,TRUE)</f>
        <v>870</v>
      </c>
      <c r="I41" s="4" t="str">
        <f>VLOOKUP(B41,'Cutomer Feedback'!A36:B85,2,TRUE)</f>
        <v>Positive</v>
      </c>
      <c r="J41" s="4" t="str">
        <f t="shared" si="0"/>
        <v>Good Performer</v>
      </c>
    </row>
    <row r="42" spans="1:10" x14ac:dyDescent="0.3">
      <c r="A42" s="4" t="s">
        <v>43</v>
      </c>
      <c r="B42" s="4">
        <v>136</v>
      </c>
      <c r="C42" s="4" t="str">
        <f>VLOOKUP(B42,'Teams Detail'!A37:C86,2,TRUE)</f>
        <v>Geeta</v>
      </c>
      <c r="D42" s="4" t="str">
        <f>VLOOKUP(B42,'Attendence(HR)'!A37:B86,2,TRUE)</f>
        <v>Present</v>
      </c>
      <c r="E42" s="4">
        <f>VLOOKUP(B42,'Login Report(WFM)'!A37:C86,2,TRUE)</f>
        <v>9</v>
      </c>
      <c r="F42" s="4">
        <f>VLOOKUP(B42,'Login Report(WFM)'!A37:C86,3,TRUE)</f>
        <v>1</v>
      </c>
      <c r="G42" s="4">
        <f>VLOOKUP(B42,'Calls Report'!A37:C86,3,TRUE)</f>
        <v>55</v>
      </c>
      <c r="H42" s="4">
        <f>VLOOKUP(B42,'Calls Report'!A37:C86,2,TRUE)</f>
        <v>880</v>
      </c>
      <c r="I42" s="4" t="str">
        <f>VLOOKUP(B42,'Cutomer Feedback'!A37:B86,2,TRUE)</f>
        <v>Positive</v>
      </c>
      <c r="J42" s="4" t="str">
        <f t="shared" si="0"/>
        <v>Good Performer</v>
      </c>
    </row>
    <row r="43" spans="1:10" x14ac:dyDescent="0.3">
      <c r="A43" s="4" t="s">
        <v>56</v>
      </c>
      <c r="B43" s="4">
        <v>137</v>
      </c>
      <c r="C43" s="4" t="str">
        <f>VLOOKUP(B43,'Teams Detail'!A38:C87,2,TRUE)</f>
        <v>Yogesh</v>
      </c>
      <c r="D43" s="4" t="str">
        <f>VLOOKUP(B43,'Attendence(HR)'!A38:B87,2,TRUE)</f>
        <v>Present</v>
      </c>
      <c r="E43" s="4">
        <f>VLOOKUP(B43,'Login Report(WFM)'!A38:C87,2,TRUE)</f>
        <v>9</v>
      </c>
      <c r="F43" s="4">
        <f>VLOOKUP(B43,'Login Report(WFM)'!A38:C87,3,TRUE)</f>
        <v>1</v>
      </c>
      <c r="G43" s="4">
        <f>VLOOKUP(B43,'Calls Report'!A38:C87,3,TRUE)</f>
        <v>72</v>
      </c>
      <c r="H43" s="4">
        <f>VLOOKUP(B43,'Calls Report'!A38:C87,2,TRUE)</f>
        <v>830</v>
      </c>
      <c r="I43" s="4" t="str">
        <f>VLOOKUP(B43,'Cutomer Feedback'!A38:B87,2,TRUE)</f>
        <v>Positive</v>
      </c>
      <c r="J43" s="4" t="str">
        <f t="shared" si="0"/>
        <v>Top Performer</v>
      </c>
    </row>
    <row r="44" spans="1:10" x14ac:dyDescent="0.3">
      <c r="A44" s="4" t="s">
        <v>56</v>
      </c>
      <c r="B44" s="4">
        <v>138</v>
      </c>
      <c r="C44" s="4" t="str">
        <f>VLOOKUP(B44,'Teams Detail'!A39:C88,2,TRUE)</f>
        <v>Radha</v>
      </c>
      <c r="D44" s="4" t="str">
        <f>VLOOKUP(B44,'Attendence(HR)'!A39:B88,2,TRUE)</f>
        <v>Present</v>
      </c>
      <c r="E44" s="4">
        <f>VLOOKUP(B44,'Login Report(WFM)'!A39:C88,2,TRUE)</f>
        <v>9</v>
      </c>
      <c r="F44" s="4">
        <f>VLOOKUP(B44,'Login Report(WFM)'!A39:C88,3,TRUE)</f>
        <v>1</v>
      </c>
      <c r="G44" s="4">
        <f>VLOOKUP(B44,'Calls Report'!A39:C88,3,TRUE)</f>
        <v>58</v>
      </c>
      <c r="H44" s="4">
        <f>VLOOKUP(B44,'Calls Report'!A39:C88,2,TRUE)</f>
        <v>860</v>
      </c>
      <c r="I44" s="4" t="str">
        <f>VLOOKUP(B44,'Cutomer Feedback'!A39:B88,2,TRUE)</f>
        <v>Neutral</v>
      </c>
      <c r="J44" s="4" t="str">
        <f t="shared" si="0"/>
        <v>Needs Improvement</v>
      </c>
    </row>
    <row r="45" spans="1:10" x14ac:dyDescent="0.3">
      <c r="A45" s="4" t="s">
        <v>56</v>
      </c>
      <c r="B45" s="4">
        <v>139</v>
      </c>
      <c r="C45" s="4" t="str">
        <f>VLOOKUP(B45,'Teams Detail'!A40:C89,2,TRUE)</f>
        <v>Naresh</v>
      </c>
      <c r="D45" s="4" t="str">
        <f>VLOOKUP(B45,'Attendence(HR)'!A40:B89,2,TRUE)</f>
        <v>Present</v>
      </c>
      <c r="E45" s="4">
        <f>VLOOKUP(B45,'Login Report(WFM)'!A40:C89,2,TRUE)</f>
        <v>9</v>
      </c>
      <c r="F45" s="4">
        <f>VLOOKUP(B45,'Login Report(WFM)'!A40:C89,3,TRUE)</f>
        <v>1</v>
      </c>
      <c r="G45" s="4">
        <f>VLOOKUP(B45,'Calls Report'!A40:C89,3,TRUE)</f>
        <v>49</v>
      </c>
      <c r="H45" s="4">
        <f>VLOOKUP(B45,'Calls Report'!A40:C89,2,TRUE)</f>
        <v>910</v>
      </c>
      <c r="I45" s="4" t="str">
        <f>VLOOKUP(B45,'Cutomer Feedback'!A40:B89,2,TRUE)</f>
        <v>Positive</v>
      </c>
      <c r="J45" s="4" t="str">
        <f t="shared" si="0"/>
        <v>Needs Improvement</v>
      </c>
    </row>
    <row r="46" spans="1:10" x14ac:dyDescent="0.3">
      <c r="A46" s="4" t="s">
        <v>56</v>
      </c>
      <c r="B46" s="4">
        <v>140</v>
      </c>
      <c r="C46" s="4" t="str">
        <f>VLOOKUP(B46,'Teams Detail'!A41:C90,2,TRUE)</f>
        <v>Kusum</v>
      </c>
      <c r="D46" s="4" t="str">
        <f>VLOOKUP(B46,'Attendence(HR)'!A41:B90,2,TRUE)</f>
        <v>Present</v>
      </c>
      <c r="E46" s="4">
        <f>VLOOKUP(B46,'Login Report(WFM)'!A41:C90,2,TRUE)</f>
        <v>9</v>
      </c>
      <c r="F46" s="4">
        <f>VLOOKUP(B46,'Login Report(WFM)'!A41:C90,3,TRUE)</f>
        <v>1</v>
      </c>
      <c r="G46" s="4">
        <f>VLOOKUP(B46,'Calls Report'!A41:C90,3,TRUE)</f>
        <v>64</v>
      </c>
      <c r="H46" s="4">
        <f>VLOOKUP(B46,'Calls Report'!A41:C90,2,TRUE)</f>
        <v>870</v>
      </c>
      <c r="I46" s="4" t="str">
        <f>VLOOKUP(B46,'Cutomer Feedback'!A41:B90,2,TRUE)</f>
        <v>Positive</v>
      </c>
      <c r="J46" s="4" t="str">
        <f t="shared" si="0"/>
        <v>Good Performer</v>
      </c>
    </row>
    <row r="47" spans="1:10" x14ac:dyDescent="0.3">
      <c r="A47" s="4" t="s">
        <v>56</v>
      </c>
      <c r="B47" s="4">
        <v>141</v>
      </c>
      <c r="C47" s="4" t="str">
        <f>VLOOKUP(B47,'Teams Detail'!A42:C91,2,TRUE)</f>
        <v>Dev</v>
      </c>
      <c r="D47" s="4" t="str">
        <f>VLOOKUP(B47,'Attendence(HR)'!A42:B91,2,TRUE)</f>
        <v>Present</v>
      </c>
      <c r="E47" s="4">
        <f>VLOOKUP(B47,'Login Report(WFM)'!A42:C91,2,TRUE)</f>
        <v>9</v>
      </c>
      <c r="F47" s="4">
        <f>VLOOKUP(B47,'Login Report(WFM)'!A42:C91,3,TRUE)</f>
        <v>1</v>
      </c>
      <c r="G47" s="4">
        <f>VLOOKUP(B47,'Calls Report'!A42:C91,3,TRUE)</f>
        <v>60</v>
      </c>
      <c r="H47" s="4">
        <f>VLOOKUP(B47,'Calls Report'!A42:C91,2,TRUE)</f>
        <v>890</v>
      </c>
      <c r="I47" s="4" t="str">
        <f>VLOOKUP(B47,'Cutomer Feedback'!A42:B91,2,TRUE)</f>
        <v>Positive</v>
      </c>
      <c r="J47" s="4" t="str">
        <f t="shared" si="0"/>
        <v>Good Performer</v>
      </c>
    </row>
    <row r="48" spans="1:10" x14ac:dyDescent="0.3">
      <c r="A48" s="4" t="s">
        <v>56</v>
      </c>
      <c r="B48" s="4">
        <v>142</v>
      </c>
      <c r="C48" s="4" t="str">
        <f>VLOOKUP(B48,'Teams Detail'!A43:C92,2,TRUE)</f>
        <v>Lata</v>
      </c>
      <c r="D48" s="4" t="str">
        <f>VLOOKUP(B48,'Attendence(HR)'!A43:B92,2,TRUE)</f>
        <v>Present</v>
      </c>
      <c r="E48" s="4">
        <f>VLOOKUP(B48,'Login Report(WFM)'!A43:C92,2,TRUE)</f>
        <v>8.6</v>
      </c>
      <c r="F48" s="4">
        <f>VLOOKUP(B48,'Login Report(WFM)'!A43:C92,3,TRUE)</f>
        <v>0.6</v>
      </c>
      <c r="G48" s="4">
        <f>VLOOKUP(B48,'Calls Report'!A43:C92,3,TRUE)</f>
        <v>46</v>
      </c>
      <c r="H48" s="4">
        <f>VLOOKUP(B48,'Calls Report'!A43:C92,2,TRUE)</f>
        <v>920</v>
      </c>
      <c r="I48" s="4" t="str">
        <f>VLOOKUP(B48,'Cutomer Feedback'!A43:B92,2,TRUE)</f>
        <v>Negative</v>
      </c>
      <c r="J48" s="4" t="str">
        <f t="shared" si="0"/>
        <v>Needs Improvement</v>
      </c>
    </row>
    <row r="49" spans="1:10" x14ac:dyDescent="0.3">
      <c r="A49" s="4" t="s">
        <v>56</v>
      </c>
      <c r="B49" s="4">
        <v>143</v>
      </c>
      <c r="C49" s="4" t="str">
        <f>VLOOKUP(B49,'Teams Detail'!A44:C93,2,TRUE)</f>
        <v>Imran</v>
      </c>
      <c r="D49" s="4" t="str">
        <f>VLOOKUP(B49,'Attendence(HR)'!A44:B93,2,TRUE)</f>
        <v>Present</v>
      </c>
      <c r="E49" s="4">
        <f>VLOOKUP(B49,'Login Report(WFM)'!A44:C93,2,TRUE)</f>
        <v>9</v>
      </c>
      <c r="F49" s="4">
        <f>VLOOKUP(B49,'Login Report(WFM)'!A44:C93,3,TRUE)</f>
        <v>1</v>
      </c>
      <c r="G49" s="4">
        <f>VLOOKUP(B49,'Calls Report'!A44:C93,3,TRUE)</f>
        <v>57</v>
      </c>
      <c r="H49" s="4">
        <f>VLOOKUP(B49,'Calls Report'!A44:C93,2,TRUE)</f>
        <v>880</v>
      </c>
      <c r="I49" s="4" t="str">
        <f>VLOOKUP(B49,'Cutomer Feedback'!A44:B93,2,TRUE)</f>
        <v>Positive</v>
      </c>
      <c r="J49" s="4" t="str">
        <f t="shared" si="0"/>
        <v>Good Performer</v>
      </c>
    </row>
    <row r="50" spans="1:10" x14ac:dyDescent="0.3">
      <c r="A50" s="4" t="s">
        <v>56</v>
      </c>
      <c r="B50" s="4">
        <v>144</v>
      </c>
      <c r="C50" s="4" t="str">
        <f>VLOOKUP(B50,'Teams Detail'!A45:C94,2,TRUE)</f>
        <v>Shweta</v>
      </c>
      <c r="D50" s="4" t="str">
        <f>VLOOKUP(B50,'Attendence(HR)'!A45:B94,2,TRUE)</f>
        <v>Present</v>
      </c>
      <c r="E50" s="4">
        <f>VLOOKUP(B50,'Login Report(WFM)'!A45:C94,2,TRUE)</f>
        <v>9</v>
      </c>
      <c r="F50" s="4">
        <f>VLOOKUP(B50,'Login Report(WFM)'!A45:C94,3,TRUE)</f>
        <v>1</v>
      </c>
      <c r="G50" s="4">
        <f>VLOOKUP(B50,'Calls Report'!A45:C94,3,TRUE)</f>
        <v>61</v>
      </c>
      <c r="H50" s="4">
        <f>VLOOKUP(B50,'Calls Report'!A45:C94,2,TRUE)</f>
        <v>870</v>
      </c>
      <c r="I50" s="4" t="str">
        <f>VLOOKUP(B50,'Cutomer Feedback'!A45:B94,2,TRUE)</f>
        <v>Positive</v>
      </c>
      <c r="J50" s="4" t="str">
        <f t="shared" si="0"/>
        <v>Good Performer</v>
      </c>
    </row>
    <row r="51" spans="1:10" x14ac:dyDescent="0.3">
      <c r="A51" s="4" t="s">
        <v>56</v>
      </c>
      <c r="B51" s="4">
        <v>145</v>
      </c>
      <c r="C51" s="4" t="str">
        <f>VLOOKUP(B51,'Teams Detail'!A46:C95,2,TRUE)</f>
        <v>Arif</v>
      </c>
      <c r="D51" s="4" t="str">
        <f>VLOOKUP(B51,'Attendence(HR)'!A46:B95,2,TRUE)</f>
        <v>Absent</v>
      </c>
      <c r="E51" s="4">
        <f>VLOOKUP(B51,'Login Report(WFM)'!A46:C95,2,TRUE)</f>
        <v>8.5</v>
      </c>
      <c r="F51" s="4">
        <f>VLOOKUP(B51,'Login Report(WFM)'!A46:C95,3,TRUE)</f>
        <v>0.5</v>
      </c>
      <c r="G51" s="4">
        <f>VLOOKUP(B51,'Calls Report'!A46:C95,3,TRUE)</f>
        <v>42</v>
      </c>
      <c r="H51" s="4">
        <f>VLOOKUP(B51,'Calls Report'!A46:C95,2,TRUE)</f>
        <v>940</v>
      </c>
      <c r="I51" s="4" t="str">
        <f>VLOOKUP(B51,'Cutomer Feedback'!A46:B95,2,TRUE)</f>
        <v>Negative</v>
      </c>
      <c r="J51" s="4" t="str">
        <f t="shared" si="0"/>
        <v>Needs Improvement</v>
      </c>
    </row>
    <row r="52" spans="1:10" x14ac:dyDescent="0.3">
      <c r="A52" s="4" t="s">
        <v>56</v>
      </c>
      <c r="B52" s="4">
        <v>146</v>
      </c>
      <c r="C52" s="4" t="str">
        <f>VLOOKUP(B52,'Teams Detail'!A47:C96,2,TRUE)</f>
        <v>Simran</v>
      </c>
      <c r="D52" s="4" t="str">
        <f>VLOOKUP(B52,'Attendence(HR)'!A47:B96,2,TRUE)</f>
        <v>Present</v>
      </c>
      <c r="E52" s="4">
        <f>VLOOKUP(B52,'Login Report(WFM)'!A47:C96,2,TRUE)</f>
        <v>9</v>
      </c>
      <c r="F52" s="4">
        <f>VLOOKUP(B52,'Login Report(WFM)'!A47:C96,3,TRUE)</f>
        <v>1</v>
      </c>
      <c r="G52" s="4">
        <f>VLOOKUP(B52,'Calls Report'!A47:C96,3,TRUE)</f>
        <v>59</v>
      </c>
      <c r="H52" s="4">
        <f>VLOOKUP(B52,'Calls Report'!A47:C96,2,TRUE)</f>
        <v>860</v>
      </c>
      <c r="I52" s="4" t="str">
        <f>VLOOKUP(B52,'Cutomer Feedback'!A47:B96,2,TRUE)</f>
        <v>Positive</v>
      </c>
      <c r="J52" s="4" t="str">
        <f t="shared" si="0"/>
        <v>Good Performer</v>
      </c>
    </row>
    <row r="53" spans="1:10" x14ac:dyDescent="0.3">
      <c r="A53" s="4" t="s">
        <v>56</v>
      </c>
      <c r="B53" s="4">
        <v>147</v>
      </c>
      <c r="C53" s="4" t="str">
        <f>VLOOKUP(B53,'Teams Detail'!A48:C97,2,TRUE)</f>
        <v>Harsh</v>
      </c>
      <c r="D53" s="4" t="str">
        <f>VLOOKUP(B53,'Attendence(HR)'!A48:B97,2,TRUE)</f>
        <v>Present</v>
      </c>
      <c r="E53" s="4">
        <f>VLOOKUP(B53,'Login Report(WFM)'!A48:C97,2,TRUE)</f>
        <v>9</v>
      </c>
      <c r="F53" s="4">
        <f>VLOOKUP(B53,'Login Report(WFM)'!A48:C97,3,TRUE)</f>
        <v>1</v>
      </c>
      <c r="G53" s="4">
        <f>VLOOKUP(B53,'Calls Report'!A48:C97,3,TRUE)</f>
        <v>53</v>
      </c>
      <c r="H53" s="4">
        <f>VLOOKUP(B53,'Calls Report'!A48:C97,2,TRUE)</f>
        <v>880</v>
      </c>
      <c r="I53" s="4" t="str">
        <f>VLOOKUP(B53,'Cutomer Feedback'!A48:B97,2,TRUE)</f>
        <v>Positive</v>
      </c>
      <c r="J53" s="4" t="str">
        <f t="shared" si="0"/>
        <v>Good Performer</v>
      </c>
    </row>
    <row r="54" spans="1:10" x14ac:dyDescent="0.3">
      <c r="A54" s="4" t="s">
        <v>56</v>
      </c>
      <c r="B54" s="4">
        <v>148</v>
      </c>
      <c r="C54" s="4" t="str">
        <f>VLOOKUP(B54,'Teams Detail'!A49:C98,2,TRUE)</f>
        <v>Jyoti</v>
      </c>
      <c r="D54" s="4" t="str">
        <f>VLOOKUP(B54,'Attendence(HR)'!A49:B98,2,TRUE)</f>
        <v>Present</v>
      </c>
      <c r="E54" s="4">
        <f>VLOOKUP(B54,'Login Report(WFM)'!A49:C98,2,TRUE)</f>
        <v>9</v>
      </c>
      <c r="F54" s="4">
        <f>VLOOKUP(B54,'Login Report(WFM)'!A49:C98,3,TRUE)</f>
        <v>1</v>
      </c>
      <c r="G54" s="4">
        <f>VLOOKUP(B54,'Calls Report'!A49:C98,3,TRUE)</f>
        <v>50</v>
      </c>
      <c r="H54" s="4">
        <f>VLOOKUP(B54,'Calls Report'!A49:C98,2,TRUE)</f>
        <v>900</v>
      </c>
      <c r="I54" s="4" t="str">
        <f>VLOOKUP(B54,'Cutomer Feedback'!A49:B98,2,TRUE)</f>
        <v>Neutral</v>
      </c>
      <c r="J54" s="4" t="str">
        <f t="shared" si="0"/>
        <v>Needs Improvement</v>
      </c>
    </row>
    <row r="55" spans="1:10" x14ac:dyDescent="0.3">
      <c r="A55" s="4" t="s">
        <v>56</v>
      </c>
      <c r="B55" s="4">
        <v>149</v>
      </c>
      <c r="C55" s="4" t="str">
        <f>VLOOKUP(B55,'Teams Detail'!A50:C99,2,TRUE)</f>
        <v>Kapil</v>
      </c>
      <c r="D55" s="4" t="str">
        <f>VLOOKUP(B55,'Attendence(HR)'!A50:B99,2,TRUE)</f>
        <v>Present</v>
      </c>
      <c r="E55" s="4">
        <f>VLOOKUP(B55,'Login Report(WFM)'!A50:C99,2,TRUE)</f>
        <v>9</v>
      </c>
      <c r="F55" s="4">
        <f>VLOOKUP(B55,'Login Report(WFM)'!A50:C99,3,TRUE)</f>
        <v>1</v>
      </c>
      <c r="G55" s="4">
        <f>VLOOKUP(B55,'Calls Report'!A50:C99,3,TRUE)</f>
        <v>66</v>
      </c>
      <c r="H55" s="4">
        <f>VLOOKUP(B55,'Calls Report'!A50:C99,2,TRUE)</f>
        <v>870</v>
      </c>
      <c r="I55" s="4" t="str">
        <f>VLOOKUP(B55,'Cutomer Feedback'!A50:B99,2,TRUE)</f>
        <v>Positive</v>
      </c>
      <c r="J55" s="4" t="str">
        <f t="shared" si="0"/>
        <v>Good Performer</v>
      </c>
    </row>
    <row r="56" spans="1:10" x14ac:dyDescent="0.3">
      <c r="A56" s="4" t="s">
        <v>56</v>
      </c>
      <c r="B56" s="4">
        <v>150</v>
      </c>
      <c r="C56" s="4" t="str">
        <f>VLOOKUP(B56,'Teams Detail'!A51:C100,2,TRUE)</f>
        <v>Neeraj</v>
      </c>
      <c r="D56" s="4" t="str">
        <f>VLOOKUP(B56,'Attendence(HR)'!A51:B100,2,TRUE)</f>
        <v>Present</v>
      </c>
      <c r="E56" s="4">
        <f>VLOOKUP(B56,'Login Report(WFM)'!A51:C100,2,TRUE)</f>
        <v>9</v>
      </c>
      <c r="F56" s="4">
        <f>VLOOKUP(B56,'Login Report(WFM)'!A51:C100,3,TRUE)</f>
        <v>1</v>
      </c>
      <c r="G56" s="4">
        <f>VLOOKUP(B56,'Calls Report'!A51:C100,3,TRUE)</f>
        <v>68</v>
      </c>
      <c r="H56" s="4">
        <f>VLOOKUP(B56,'Calls Report'!A51:C100,2,TRUE)</f>
        <v>850</v>
      </c>
      <c r="I56" s="4" t="str">
        <f>VLOOKUP(B56,'Cutomer Feedback'!A51:B100,2,TRUE)</f>
        <v>Positive</v>
      </c>
      <c r="J56" s="4" t="str">
        <f t="shared" si="0"/>
        <v>Top Performer</v>
      </c>
    </row>
  </sheetData>
  <sheetProtection sheet="1" objects="1" scenarios="1" pivotTables="0"/>
  <mergeCells count="1">
    <mergeCell ref="C1:J5"/>
  </mergeCells>
  <conditionalFormatting sqref="H7:H56">
    <cfRule type="cellIs" dxfId="7" priority="1" operator="equal">
      <formula>850</formula>
    </cfRule>
    <cfRule type="cellIs" dxfId="6" priority="2" operator="between">
      <formula>0</formula>
      <formula>850</formula>
    </cfRule>
    <cfRule type="cellIs" dxfId="5" priority="3" operator="greaterThan">
      <formula>900</formula>
    </cfRule>
    <cfRule type="cellIs" dxfId="4" priority="4" operator="greaterThan">
      <formula>850</formula>
    </cfRule>
    <cfRule type="cellIs" dxfId="3" priority="5" operator="greaterThan">
      <formula>900</formula>
    </cfRule>
  </conditionalFormatting>
  <conditionalFormatting sqref="J7:J56">
    <cfRule type="cellIs" dxfId="2" priority="9" operator="equal">
      <formula>"Needs Improvement"</formula>
    </cfRule>
    <cfRule type="cellIs" dxfId="1" priority="10" operator="equal">
      <formula>"Good Performer"</formula>
    </cfRule>
    <cfRule type="cellIs" dxfId="0" priority="11" operator="equal">
      <formula>"Top Performer"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7B01D-6D2A-4F17-9969-177108CEF2F9}">
  <sheetPr>
    <tabColor theme="1" tint="0.499984740745262"/>
  </sheetPr>
  <dimension ref="A3:E37"/>
  <sheetViews>
    <sheetView workbookViewId="0">
      <selection activeCell="B33" sqref="B33"/>
    </sheetView>
  </sheetViews>
  <sheetFormatPr defaultRowHeight="14.4" x14ac:dyDescent="0.3"/>
  <cols>
    <col min="1" max="1" width="15.88671875" bestFit="1" customWidth="1"/>
    <col min="2" max="2" width="16.21875" bestFit="1" customWidth="1"/>
    <col min="3" max="3" width="14.88671875" bestFit="1" customWidth="1"/>
    <col min="4" max="4" width="18.77734375" bestFit="1" customWidth="1"/>
    <col min="5" max="5" width="11.21875" bestFit="1" customWidth="1"/>
    <col min="6" max="6" width="16.109375" customWidth="1"/>
    <col min="7" max="7" width="16" customWidth="1"/>
    <col min="8" max="8" width="7.5546875" customWidth="1"/>
    <col min="9" max="9" width="8.6640625" customWidth="1"/>
    <col min="10" max="10" width="7.5546875" customWidth="1"/>
    <col min="11" max="11" width="8.6640625" customWidth="1"/>
    <col min="12" max="12" width="7.5546875" customWidth="1"/>
    <col min="13" max="13" width="8.6640625" customWidth="1"/>
    <col min="14" max="14" width="18.109375" customWidth="1"/>
    <col min="15" max="15" width="10.77734375" customWidth="1"/>
    <col min="16" max="16" width="7.5546875" customWidth="1"/>
    <col min="17" max="17" width="7.6640625" customWidth="1"/>
    <col min="18" max="18" width="7.5546875" customWidth="1"/>
    <col min="19" max="19" width="7.6640625" customWidth="1"/>
    <col min="20" max="20" width="8.6640625" customWidth="1"/>
    <col min="21" max="21" width="7.5546875" customWidth="1"/>
    <col min="22" max="22" width="7.6640625" customWidth="1"/>
    <col min="23" max="23" width="7.5546875" customWidth="1"/>
    <col min="24" max="24" width="7.6640625" customWidth="1"/>
    <col min="25" max="25" width="8.6640625" customWidth="1"/>
    <col min="26" max="26" width="18.109375" customWidth="1"/>
    <col min="27" max="27" width="10.77734375" customWidth="1"/>
    <col min="28" max="28" width="7.5546875" customWidth="1"/>
    <col min="29" max="29" width="7.6640625" customWidth="1"/>
    <col min="30" max="30" width="7.21875" customWidth="1"/>
    <col min="31" max="31" width="7.5546875" customWidth="1"/>
    <col min="32" max="32" width="7.6640625" customWidth="1"/>
    <col min="33" max="33" width="7.5546875" customWidth="1"/>
    <col min="34" max="34" width="7.6640625" customWidth="1"/>
    <col min="35" max="35" width="8.6640625" customWidth="1"/>
    <col min="36" max="36" width="8.44140625" customWidth="1"/>
    <col min="37" max="37" width="7.6640625" customWidth="1"/>
    <col min="38" max="38" width="7.5546875" customWidth="1"/>
    <col min="39" max="39" width="7.6640625" customWidth="1"/>
    <col min="40" max="40" width="7.5546875" customWidth="1"/>
    <col min="41" max="41" width="7.6640625" customWidth="1"/>
    <col min="42" max="42" width="7.5546875" customWidth="1"/>
    <col min="43" max="43" width="7.6640625" customWidth="1"/>
    <col min="44" max="44" width="7.5546875" customWidth="1"/>
    <col min="45" max="45" width="7.6640625" customWidth="1"/>
    <col min="46" max="46" width="7.5546875" customWidth="1"/>
    <col min="47" max="47" width="7.6640625" customWidth="1"/>
    <col min="48" max="48" width="7.5546875" customWidth="1"/>
    <col min="49" max="49" width="7.6640625" customWidth="1"/>
    <col min="50" max="50" width="8.6640625" customWidth="1"/>
    <col min="51" max="51" width="7.5546875" customWidth="1"/>
    <col min="52" max="52" width="7.6640625" customWidth="1"/>
    <col min="53" max="53" width="7.21875" customWidth="1"/>
    <col min="54" max="54" width="7.5546875" customWidth="1"/>
    <col min="55" max="55" width="7.6640625" customWidth="1"/>
    <col min="56" max="56" width="7.5546875" customWidth="1"/>
    <col min="57" max="57" width="7.6640625" customWidth="1"/>
    <col min="58" max="58" width="7.5546875" customWidth="1"/>
    <col min="59" max="59" width="7.6640625" customWidth="1"/>
    <col min="60" max="60" width="8.6640625" customWidth="1"/>
    <col min="61" max="61" width="7.21875" customWidth="1"/>
    <col min="62" max="62" width="7.6640625" customWidth="1"/>
    <col min="63" max="63" width="7.5546875" customWidth="1"/>
    <col min="64" max="64" width="7.6640625" customWidth="1"/>
    <col min="65" max="65" width="7.5546875" customWidth="1"/>
    <col min="66" max="66" width="7.6640625" customWidth="1"/>
    <col min="67" max="67" width="8.6640625" customWidth="1"/>
    <col min="68" max="68" width="7.21875" customWidth="1"/>
    <col min="69" max="69" width="7.6640625" customWidth="1"/>
    <col min="70" max="70" width="8.6640625" customWidth="1"/>
    <col min="71" max="71" width="7.21875" customWidth="1"/>
    <col min="72" max="72" width="7.6640625" customWidth="1"/>
    <col min="73" max="73" width="8.6640625" customWidth="1"/>
    <col min="74" max="74" width="8.44140625" customWidth="1"/>
    <col min="75" max="75" width="7.6640625" customWidth="1"/>
    <col min="76" max="76" width="7.5546875" customWidth="1"/>
    <col min="77" max="77" width="7.6640625" customWidth="1"/>
    <col min="78" max="78" width="8.44140625" customWidth="1"/>
    <col min="79" max="79" width="7.6640625" customWidth="1"/>
    <col min="80" max="80" width="7.5546875" customWidth="1"/>
    <col min="81" max="81" width="7.6640625" customWidth="1"/>
    <col min="82" max="82" width="8.6640625" customWidth="1"/>
    <col min="83" max="83" width="8.44140625" customWidth="1"/>
    <col min="84" max="84" width="7.6640625" customWidth="1"/>
    <col min="85" max="85" width="8.44140625" customWidth="1"/>
    <col min="86" max="86" width="7.6640625" customWidth="1"/>
    <col min="87" max="87" width="8.44140625" customWidth="1"/>
    <col min="88" max="88" width="7.6640625" customWidth="1"/>
    <col min="89" max="89" width="8.44140625" customWidth="1"/>
    <col min="90" max="90" width="7.6640625" customWidth="1"/>
    <col min="91" max="91" width="8.6640625" customWidth="1"/>
    <col min="92" max="92" width="8.44140625" customWidth="1"/>
    <col min="93" max="93" width="7.6640625" customWidth="1"/>
    <col min="94" max="94" width="8.44140625" customWidth="1"/>
    <col min="95" max="95" width="7.6640625" customWidth="1"/>
    <col min="96" max="96" width="8.6640625" customWidth="1"/>
    <col min="97" max="97" width="8.44140625" customWidth="1"/>
    <col min="98" max="98" width="7.6640625" customWidth="1"/>
    <col min="99" max="99" width="8.6640625" customWidth="1"/>
    <col min="100" max="100" width="10.77734375" customWidth="1"/>
  </cols>
  <sheetData>
    <row r="3" spans="1:5" x14ac:dyDescent="0.3">
      <c r="A3" s="1" t="s">
        <v>72</v>
      </c>
      <c r="B3" t="s">
        <v>86</v>
      </c>
    </row>
    <row r="4" spans="1:5" x14ac:dyDescent="0.3">
      <c r="A4" s="2" t="s">
        <v>3</v>
      </c>
      <c r="B4" s="17">
        <v>10</v>
      </c>
    </row>
    <row r="5" spans="1:5" x14ac:dyDescent="0.3">
      <c r="A5" s="2" t="s">
        <v>4</v>
      </c>
      <c r="B5" s="17">
        <v>7</v>
      </c>
    </row>
    <row r="6" spans="1:5" x14ac:dyDescent="0.3">
      <c r="A6" s="2" t="s">
        <v>2</v>
      </c>
      <c r="B6" s="17">
        <v>33</v>
      </c>
    </row>
    <row r="7" spans="1:5" x14ac:dyDescent="0.3">
      <c r="A7" s="2" t="s">
        <v>73</v>
      </c>
      <c r="B7" s="17">
        <v>50</v>
      </c>
    </row>
    <row r="9" spans="1:5" x14ac:dyDescent="0.3">
      <c r="A9" s="1" t="s">
        <v>86</v>
      </c>
      <c r="B9" s="1" t="s">
        <v>74</v>
      </c>
    </row>
    <row r="10" spans="1:5" x14ac:dyDescent="0.3">
      <c r="A10" s="1" t="s">
        <v>72</v>
      </c>
      <c r="B10" t="s">
        <v>2</v>
      </c>
      <c r="C10" t="s">
        <v>4</v>
      </c>
      <c r="D10" t="s">
        <v>3</v>
      </c>
      <c r="E10" t="s">
        <v>73</v>
      </c>
    </row>
    <row r="11" spans="1:5" x14ac:dyDescent="0.3">
      <c r="A11" s="2" t="s">
        <v>17</v>
      </c>
      <c r="B11" s="17">
        <v>7</v>
      </c>
      <c r="C11" s="17">
        <v>2</v>
      </c>
      <c r="D11" s="17">
        <v>3</v>
      </c>
      <c r="E11" s="17">
        <v>12</v>
      </c>
    </row>
    <row r="12" spans="1:5" x14ac:dyDescent="0.3">
      <c r="A12" s="2" t="s">
        <v>30</v>
      </c>
      <c r="B12" s="17">
        <v>8</v>
      </c>
      <c r="C12" s="17">
        <v>1</v>
      </c>
      <c r="D12" s="17">
        <v>3</v>
      </c>
      <c r="E12" s="17">
        <v>12</v>
      </c>
    </row>
    <row r="13" spans="1:5" x14ac:dyDescent="0.3">
      <c r="A13" s="2" t="s">
        <v>43</v>
      </c>
      <c r="B13" s="17">
        <v>8</v>
      </c>
      <c r="C13" s="17">
        <v>2</v>
      </c>
      <c r="D13" s="17">
        <v>2</v>
      </c>
      <c r="E13" s="17">
        <v>12</v>
      </c>
    </row>
    <row r="14" spans="1:5" x14ac:dyDescent="0.3">
      <c r="A14" s="2" t="s">
        <v>56</v>
      </c>
      <c r="B14" s="17">
        <v>10</v>
      </c>
      <c r="C14" s="17">
        <v>2</v>
      </c>
      <c r="D14" s="17">
        <v>2</v>
      </c>
      <c r="E14" s="17">
        <v>14</v>
      </c>
    </row>
    <row r="15" spans="1:5" x14ac:dyDescent="0.3">
      <c r="A15" s="2" t="s">
        <v>73</v>
      </c>
      <c r="B15" s="17">
        <v>33</v>
      </c>
      <c r="C15" s="17">
        <v>7</v>
      </c>
      <c r="D15" s="17">
        <v>10</v>
      </c>
      <c r="E15" s="17">
        <v>50</v>
      </c>
    </row>
    <row r="17" spans="1:5" x14ac:dyDescent="0.3">
      <c r="A17" s="1" t="s">
        <v>72</v>
      </c>
      <c r="B17" t="s">
        <v>86</v>
      </c>
    </row>
    <row r="18" spans="1:5" x14ac:dyDescent="0.3">
      <c r="A18" s="2" t="s">
        <v>8</v>
      </c>
      <c r="B18" s="17">
        <v>3</v>
      </c>
    </row>
    <row r="19" spans="1:5" x14ac:dyDescent="0.3">
      <c r="A19" s="2" t="s">
        <v>9</v>
      </c>
      <c r="B19" s="17">
        <v>1</v>
      </c>
    </row>
    <row r="20" spans="1:5" x14ac:dyDescent="0.3">
      <c r="A20" s="2" t="s">
        <v>6</v>
      </c>
      <c r="B20" s="17">
        <v>45</v>
      </c>
    </row>
    <row r="21" spans="1:5" x14ac:dyDescent="0.3">
      <c r="A21" s="2" t="s">
        <v>7</v>
      </c>
      <c r="B21" s="17">
        <v>1</v>
      </c>
    </row>
    <row r="22" spans="1:5" x14ac:dyDescent="0.3">
      <c r="A22" s="2" t="s">
        <v>73</v>
      </c>
      <c r="B22" s="17">
        <v>50</v>
      </c>
    </row>
    <row r="24" spans="1:5" x14ac:dyDescent="0.3">
      <c r="A24" s="1" t="s">
        <v>86</v>
      </c>
      <c r="B24" s="1" t="s">
        <v>74</v>
      </c>
    </row>
    <row r="25" spans="1:5" x14ac:dyDescent="0.3">
      <c r="A25" s="1" t="s">
        <v>72</v>
      </c>
      <c r="B25" t="s">
        <v>89</v>
      </c>
      <c r="C25" t="s">
        <v>87</v>
      </c>
      <c r="D25" t="s">
        <v>88</v>
      </c>
      <c r="E25" t="s">
        <v>73</v>
      </c>
    </row>
    <row r="26" spans="1:5" x14ac:dyDescent="0.3">
      <c r="A26" s="2" t="s">
        <v>17</v>
      </c>
      <c r="B26" s="17">
        <v>3</v>
      </c>
      <c r="C26" s="17">
        <v>3</v>
      </c>
      <c r="D26" s="17">
        <v>6</v>
      </c>
      <c r="E26" s="17">
        <v>12</v>
      </c>
    </row>
    <row r="27" spans="1:5" x14ac:dyDescent="0.3">
      <c r="A27" s="2" t="s">
        <v>30</v>
      </c>
      <c r="B27" s="17">
        <v>2</v>
      </c>
      <c r="C27" s="17">
        <v>5</v>
      </c>
      <c r="D27" s="17">
        <v>5</v>
      </c>
      <c r="E27" s="17">
        <v>12</v>
      </c>
    </row>
    <row r="28" spans="1:5" x14ac:dyDescent="0.3">
      <c r="A28" s="2" t="s">
        <v>43</v>
      </c>
      <c r="B28" s="17">
        <v>2</v>
      </c>
      <c r="C28" s="17">
        <v>6</v>
      </c>
      <c r="D28" s="17">
        <v>4</v>
      </c>
      <c r="E28" s="17">
        <v>12</v>
      </c>
    </row>
    <row r="29" spans="1:5" x14ac:dyDescent="0.3">
      <c r="A29" s="2" t="s">
        <v>56</v>
      </c>
      <c r="B29" s="17">
        <v>2</v>
      </c>
      <c r="C29" s="17">
        <v>7</v>
      </c>
      <c r="D29" s="17">
        <v>5</v>
      </c>
      <c r="E29" s="17">
        <v>14</v>
      </c>
    </row>
    <row r="30" spans="1:5" x14ac:dyDescent="0.3">
      <c r="A30" s="2" t="s">
        <v>73</v>
      </c>
      <c r="B30" s="17">
        <v>9</v>
      </c>
      <c r="C30" s="17">
        <v>21</v>
      </c>
      <c r="D30" s="17">
        <v>20</v>
      </c>
      <c r="E30" s="17">
        <v>50</v>
      </c>
    </row>
    <row r="32" spans="1:5" x14ac:dyDescent="0.3">
      <c r="A32" s="1" t="s">
        <v>72</v>
      </c>
      <c r="B32" t="s">
        <v>90</v>
      </c>
    </row>
    <row r="33" spans="1:2" x14ac:dyDescent="0.3">
      <c r="A33" s="2" t="s">
        <v>17</v>
      </c>
      <c r="B33" s="17">
        <v>679</v>
      </c>
    </row>
    <row r="34" spans="1:2" x14ac:dyDescent="0.3">
      <c r="A34" s="2" t="s">
        <v>30</v>
      </c>
      <c r="B34" s="17">
        <v>665</v>
      </c>
    </row>
    <row r="35" spans="1:2" x14ac:dyDescent="0.3">
      <c r="A35" s="2" t="s">
        <v>43</v>
      </c>
      <c r="B35" s="17">
        <v>684</v>
      </c>
    </row>
    <row r="36" spans="1:2" x14ac:dyDescent="0.3">
      <c r="A36" s="2" t="s">
        <v>56</v>
      </c>
      <c r="B36" s="17">
        <v>805</v>
      </c>
    </row>
    <row r="37" spans="1:2" x14ac:dyDescent="0.3">
      <c r="A37" s="2" t="s">
        <v>73</v>
      </c>
      <c r="B37" s="17">
        <v>2833</v>
      </c>
    </row>
  </sheetData>
  <sheetProtection sheet="1" objects="1" scenarios="1"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2BFBD-8802-407F-A5B7-3B8CD6C6928D}">
  <sheetPr>
    <tabColor theme="1" tint="0.499984740745262"/>
  </sheetPr>
  <dimension ref="A1:C51"/>
  <sheetViews>
    <sheetView workbookViewId="0">
      <selection activeCell="I22" sqref="I22"/>
    </sheetView>
  </sheetViews>
  <sheetFormatPr defaultRowHeight="14.4" x14ac:dyDescent="0.3"/>
  <cols>
    <col min="1" max="1" width="7.109375" customWidth="1"/>
    <col min="2" max="2" width="7.33203125" customWidth="1"/>
    <col min="3" max="3" width="13.44140625" customWidth="1"/>
  </cols>
  <sheetData>
    <row r="1" spans="1:3" x14ac:dyDescent="0.3">
      <c r="A1" s="3" t="s">
        <v>0</v>
      </c>
      <c r="B1" s="3" t="s">
        <v>12</v>
      </c>
      <c r="C1" s="3" t="s">
        <v>13</v>
      </c>
    </row>
    <row r="2" spans="1:3" x14ac:dyDescent="0.3">
      <c r="A2" s="4">
        <v>101</v>
      </c>
      <c r="B2" s="4">
        <v>850</v>
      </c>
      <c r="C2" s="4">
        <v>60</v>
      </c>
    </row>
    <row r="3" spans="1:3" x14ac:dyDescent="0.3">
      <c r="A3" s="4">
        <v>102</v>
      </c>
      <c r="B3" s="4">
        <v>920</v>
      </c>
      <c r="C3" s="4">
        <v>45</v>
      </c>
    </row>
    <row r="4" spans="1:3" x14ac:dyDescent="0.3">
      <c r="A4" s="4">
        <v>103</v>
      </c>
      <c r="B4" s="4">
        <v>780</v>
      </c>
      <c r="C4" s="4">
        <v>70</v>
      </c>
    </row>
    <row r="5" spans="1:3" x14ac:dyDescent="0.3">
      <c r="A5" s="4">
        <v>104</v>
      </c>
      <c r="B5" s="4">
        <v>880</v>
      </c>
      <c r="C5" s="4">
        <v>55</v>
      </c>
    </row>
    <row r="6" spans="1:3" x14ac:dyDescent="0.3">
      <c r="A6" s="4">
        <v>105</v>
      </c>
      <c r="B6" s="4">
        <v>910</v>
      </c>
      <c r="C6" s="4">
        <v>52</v>
      </c>
    </row>
    <row r="7" spans="1:3" x14ac:dyDescent="0.3">
      <c r="A7" s="4">
        <v>106</v>
      </c>
      <c r="B7" s="4">
        <v>870</v>
      </c>
      <c r="C7" s="4">
        <v>48</v>
      </c>
    </row>
    <row r="8" spans="1:3" x14ac:dyDescent="0.3">
      <c r="A8" s="4">
        <v>107</v>
      </c>
      <c r="B8" s="4">
        <v>890</v>
      </c>
      <c r="C8" s="4">
        <v>65</v>
      </c>
    </row>
    <row r="9" spans="1:3" x14ac:dyDescent="0.3">
      <c r="A9" s="4">
        <v>108</v>
      </c>
      <c r="B9" s="4">
        <v>940</v>
      </c>
      <c r="C9" s="4">
        <v>40</v>
      </c>
    </row>
    <row r="10" spans="1:3" x14ac:dyDescent="0.3">
      <c r="A10" s="4">
        <v>109</v>
      </c>
      <c r="B10" s="4">
        <v>860</v>
      </c>
      <c r="C10" s="4">
        <v>58</v>
      </c>
    </row>
    <row r="11" spans="1:3" x14ac:dyDescent="0.3">
      <c r="A11" s="4">
        <v>110</v>
      </c>
      <c r="B11" s="4">
        <v>800</v>
      </c>
      <c r="C11" s="4">
        <v>75</v>
      </c>
    </row>
    <row r="12" spans="1:3" x14ac:dyDescent="0.3">
      <c r="A12" s="4">
        <v>111</v>
      </c>
      <c r="B12" s="4">
        <v>905</v>
      </c>
      <c r="C12" s="4">
        <v>49</v>
      </c>
    </row>
    <row r="13" spans="1:3" x14ac:dyDescent="0.3">
      <c r="A13" s="4">
        <v>112</v>
      </c>
      <c r="B13" s="4">
        <v>870</v>
      </c>
      <c r="C13" s="4">
        <v>62</v>
      </c>
    </row>
    <row r="14" spans="1:3" x14ac:dyDescent="0.3">
      <c r="A14" s="4">
        <v>113</v>
      </c>
      <c r="B14" s="4">
        <v>830</v>
      </c>
      <c r="C14" s="4">
        <v>68</v>
      </c>
    </row>
    <row r="15" spans="1:3" x14ac:dyDescent="0.3">
      <c r="A15" s="4">
        <v>114</v>
      </c>
      <c r="B15" s="4">
        <v>910</v>
      </c>
      <c r="C15" s="4">
        <v>50</v>
      </c>
    </row>
    <row r="16" spans="1:3" x14ac:dyDescent="0.3">
      <c r="A16" s="4">
        <v>115</v>
      </c>
      <c r="B16" s="4">
        <v>880</v>
      </c>
      <c r="C16" s="4">
        <v>53</v>
      </c>
    </row>
    <row r="17" spans="1:3" x14ac:dyDescent="0.3">
      <c r="A17" s="4">
        <v>116</v>
      </c>
      <c r="B17" s="4">
        <v>870</v>
      </c>
      <c r="C17" s="4">
        <v>59</v>
      </c>
    </row>
    <row r="18" spans="1:3" x14ac:dyDescent="0.3">
      <c r="A18" s="4">
        <v>117</v>
      </c>
      <c r="B18" s="4">
        <v>920</v>
      </c>
      <c r="C18" s="4">
        <v>44</v>
      </c>
    </row>
    <row r="19" spans="1:3" x14ac:dyDescent="0.3">
      <c r="A19" s="4">
        <v>118</v>
      </c>
      <c r="B19" s="4">
        <v>840</v>
      </c>
      <c r="C19" s="4">
        <v>66</v>
      </c>
    </row>
    <row r="20" spans="1:3" x14ac:dyDescent="0.3">
      <c r="A20" s="4">
        <v>119</v>
      </c>
      <c r="B20" s="4">
        <v>860</v>
      </c>
      <c r="C20" s="4">
        <v>57</v>
      </c>
    </row>
    <row r="21" spans="1:3" x14ac:dyDescent="0.3">
      <c r="A21" s="4">
        <v>120</v>
      </c>
      <c r="B21" s="4">
        <v>890</v>
      </c>
      <c r="C21" s="4">
        <v>60</v>
      </c>
    </row>
    <row r="22" spans="1:3" x14ac:dyDescent="0.3">
      <c r="A22" s="4">
        <v>121</v>
      </c>
      <c r="B22" s="4">
        <v>880</v>
      </c>
      <c r="C22" s="4">
        <v>55</v>
      </c>
    </row>
    <row r="23" spans="1:3" x14ac:dyDescent="0.3">
      <c r="A23" s="4">
        <v>122</v>
      </c>
      <c r="B23" s="4">
        <v>910</v>
      </c>
      <c r="C23" s="4">
        <v>52</v>
      </c>
    </row>
    <row r="24" spans="1:3" x14ac:dyDescent="0.3">
      <c r="A24" s="4">
        <v>123</v>
      </c>
      <c r="B24" s="4">
        <v>870</v>
      </c>
      <c r="C24" s="4">
        <v>63</v>
      </c>
    </row>
    <row r="25" spans="1:3" x14ac:dyDescent="0.3">
      <c r="A25" s="4">
        <v>124</v>
      </c>
      <c r="B25" s="4">
        <v>950</v>
      </c>
      <c r="C25" s="4">
        <v>38</v>
      </c>
    </row>
    <row r="26" spans="1:3" x14ac:dyDescent="0.3">
      <c r="A26" s="4">
        <v>125</v>
      </c>
      <c r="B26" s="4">
        <v>820</v>
      </c>
      <c r="C26" s="4">
        <v>70</v>
      </c>
    </row>
    <row r="27" spans="1:3" x14ac:dyDescent="0.3">
      <c r="A27" s="4">
        <v>126</v>
      </c>
      <c r="B27" s="4">
        <v>860</v>
      </c>
      <c r="C27" s="4">
        <v>54</v>
      </c>
    </row>
    <row r="28" spans="1:3" x14ac:dyDescent="0.3">
      <c r="A28" s="4">
        <v>127</v>
      </c>
      <c r="B28" s="4">
        <v>890</v>
      </c>
      <c r="C28" s="4">
        <v>58</v>
      </c>
    </row>
    <row r="29" spans="1:3" x14ac:dyDescent="0.3">
      <c r="A29" s="4">
        <v>128</v>
      </c>
      <c r="B29" s="4">
        <v>870</v>
      </c>
      <c r="C29" s="4">
        <v>61</v>
      </c>
    </row>
    <row r="30" spans="1:3" x14ac:dyDescent="0.3">
      <c r="A30" s="4">
        <v>129</v>
      </c>
      <c r="B30" s="4">
        <v>880</v>
      </c>
      <c r="C30" s="4">
        <v>56</v>
      </c>
    </row>
    <row r="31" spans="1:3" x14ac:dyDescent="0.3">
      <c r="A31" s="4">
        <v>130</v>
      </c>
      <c r="B31" s="4">
        <v>920</v>
      </c>
      <c r="C31" s="4">
        <v>47</v>
      </c>
    </row>
    <row r="32" spans="1:3" x14ac:dyDescent="0.3">
      <c r="A32" s="4">
        <v>131</v>
      </c>
      <c r="B32" s="4">
        <v>840</v>
      </c>
      <c r="C32" s="4">
        <v>67</v>
      </c>
    </row>
    <row r="33" spans="1:3" x14ac:dyDescent="0.3">
      <c r="A33" s="4">
        <v>132</v>
      </c>
      <c r="B33" s="4">
        <v>860</v>
      </c>
      <c r="C33" s="4">
        <v>59</v>
      </c>
    </row>
    <row r="34" spans="1:3" x14ac:dyDescent="0.3">
      <c r="A34" s="4">
        <v>133</v>
      </c>
      <c r="B34" s="4">
        <v>900</v>
      </c>
      <c r="C34" s="4">
        <v>50</v>
      </c>
    </row>
    <row r="35" spans="1:3" x14ac:dyDescent="0.3">
      <c r="A35" s="4">
        <v>134</v>
      </c>
      <c r="B35" s="4">
        <v>910</v>
      </c>
      <c r="C35" s="4">
        <v>45</v>
      </c>
    </row>
    <row r="36" spans="1:3" x14ac:dyDescent="0.3">
      <c r="A36" s="4">
        <v>135</v>
      </c>
      <c r="B36" s="4">
        <v>870</v>
      </c>
      <c r="C36" s="4">
        <v>62</v>
      </c>
    </row>
    <row r="37" spans="1:3" x14ac:dyDescent="0.3">
      <c r="A37" s="4">
        <v>136</v>
      </c>
      <c r="B37" s="4">
        <v>880</v>
      </c>
      <c r="C37" s="4">
        <v>55</v>
      </c>
    </row>
    <row r="38" spans="1:3" x14ac:dyDescent="0.3">
      <c r="A38" s="4">
        <v>137</v>
      </c>
      <c r="B38" s="4">
        <v>830</v>
      </c>
      <c r="C38" s="4">
        <v>72</v>
      </c>
    </row>
    <row r="39" spans="1:3" x14ac:dyDescent="0.3">
      <c r="A39" s="4">
        <v>138</v>
      </c>
      <c r="B39" s="4">
        <v>860</v>
      </c>
      <c r="C39" s="4">
        <v>58</v>
      </c>
    </row>
    <row r="40" spans="1:3" x14ac:dyDescent="0.3">
      <c r="A40" s="4">
        <v>139</v>
      </c>
      <c r="B40" s="4">
        <v>910</v>
      </c>
      <c r="C40" s="4">
        <v>49</v>
      </c>
    </row>
    <row r="41" spans="1:3" x14ac:dyDescent="0.3">
      <c r="A41" s="4">
        <v>140</v>
      </c>
      <c r="B41" s="4">
        <v>870</v>
      </c>
      <c r="C41" s="4">
        <v>64</v>
      </c>
    </row>
    <row r="42" spans="1:3" x14ac:dyDescent="0.3">
      <c r="A42" s="4">
        <v>141</v>
      </c>
      <c r="B42" s="4">
        <v>890</v>
      </c>
      <c r="C42" s="4">
        <v>60</v>
      </c>
    </row>
    <row r="43" spans="1:3" x14ac:dyDescent="0.3">
      <c r="A43" s="4">
        <v>142</v>
      </c>
      <c r="B43" s="4">
        <v>920</v>
      </c>
      <c r="C43" s="4">
        <v>46</v>
      </c>
    </row>
    <row r="44" spans="1:3" x14ac:dyDescent="0.3">
      <c r="A44" s="4">
        <v>143</v>
      </c>
      <c r="B44" s="4">
        <v>880</v>
      </c>
      <c r="C44" s="4">
        <v>57</v>
      </c>
    </row>
    <row r="45" spans="1:3" x14ac:dyDescent="0.3">
      <c r="A45" s="4">
        <v>144</v>
      </c>
      <c r="B45" s="4">
        <v>870</v>
      </c>
      <c r="C45" s="4">
        <v>61</v>
      </c>
    </row>
    <row r="46" spans="1:3" x14ac:dyDescent="0.3">
      <c r="A46" s="4">
        <v>145</v>
      </c>
      <c r="B46" s="4">
        <v>940</v>
      </c>
      <c r="C46" s="4">
        <v>42</v>
      </c>
    </row>
    <row r="47" spans="1:3" x14ac:dyDescent="0.3">
      <c r="A47" s="4">
        <v>146</v>
      </c>
      <c r="B47" s="4">
        <v>860</v>
      </c>
      <c r="C47" s="4">
        <v>59</v>
      </c>
    </row>
    <row r="48" spans="1:3" x14ac:dyDescent="0.3">
      <c r="A48" s="4">
        <v>147</v>
      </c>
      <c r="B48" s="4">
        <v>880</v>
      </c>
      <c r="C48" s="4">
        <v>53</v>
      </c>
    </row>
    <row r="49" spans="1:3" x14ac:dyDescent="0.3">
      <c r="A49" s="4">
        <v>148</v>
      </c>
      <c r="B49" s="4">
        <v>900</v>
      </c>
      <c r="C49" s="4">
        <v>50</v>
      </c>
    </row>
    <row r="50" spans="1:3" x14ac:dyDescent="0.3">
      <c r="A50" s="4">
        <v>149</v>
      </c>
      <c r="B50" s="4">
        <v>870</v>
      </c>
      <c r="C50" s="4">
        <v>66</v>
      </c>
    </row>
    <row r="51" spans="1:3" x14ac:dyDescent="0.3">
      <c r="A51" s="4">
        <v>150</v>
      </c>
      <c r="B51" s="4">
        <v>850</v>
      </c>
      <c r="C51" s="4">
        <v>68</v>
      </c>
    </row>
  </sheetData>
  <sheetProtection sheet="1" objects="1" scenarios="1"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B1650-8088-46A1-8FDD-DA2D6BE5FFB7}">
  <sheetPr>
    <tabColor theme="1" tint="0.499984740745262"/>
  </sheetPr>
  <dimension ref="A1:C51"/>
  <sheetViews>
    <sheetView workbookViewId="0">
      <selection activeCell="I22" sqref="I22"/>
    </sheetView>
  </sheetViews>
  <sheetFormatPr defaultRowHeight="14.4" x14ac:dyDescent="0.3"/>
  <cols>
    <col min="2" max="2" width="11.6640625" customWidth="1"/>
  </cols>
  <sheetData>
    <row r="1" spans="1:3" x14ac:dyDescent="0.3">
      <c r="A1" s="3" t="s">
        <v>0</v>
      </c>
      <c r="B1" s="3" t="s">
        <v>10</v>
      </c>
      <c r="C1" s="3" t="s">
        <v>11</v>
      </c>
    </row>
    <row r="2" spans="1:3" x14ac:dyDescent="0.3">
      <c r="A2" s="4">
        <v>101</v>
      </c>
      <c r="B2" s="4">
        <v>9</v>
      </c>
      <c r="C2" s="4">
        <v>1</v>
      </c>
    </row>
    <row r="3" spans="1:3" x14ac:dyDescent="0.3">
      <c r="A3" s="4">
        <v>102</v>
      </c>
      <c r="B3" s="4">
        <v>8.5</v>
      </c>
      <c r="C3" s="4">
        <v>0.5</v>
      </c>
    </row>
    <row r="4" spans="1:3" x14ac:dyDescent="0.3">
      <c r="A4" s="4">
        <v>103</v>
      </c>
      <c r="B4" s="4">
        <v>9</v>
      </c>
      <c r="C4" s="4">
        <v>1</v>
      </c>
    </row>
    <row r="5" spans="1:3" x14ac:dyDescent="0.3">
      <c r="A5" s="4">
        <v>104</v>
      </c>
      <c r="B5" s="4">
        <v>9</v>
      </c>
      <c r="C5" s="4">
        <v>1</v>
      </c>
    </row>
    <row r="6" spans="1:3" x14ac:dyDescent="0.3">
      <c r="A6" s="4">
        <v>105</v>
      </c>
      <c r="B6" s="4">
        <v>9</v>
      </c>
      <c r="C6" s="4">
        <v>1</v>
      </c>
    </row>
    <row r="7" spans="1:3" x14ac:dyDescent="0.3">
      <c r="A7" s="4">
        <v>106</v>
      </c>
      <c r="B7" s="4">
        <v>8.8000000000000007</v>
      </c>
      <c r="C7" s="4">
        <v>0.8</v>
      </c>
    </row>
    <row r="8" spans="1:3" x14ac:dyDescent="0.3">
      <c r="A8" s="4">
        <v>107</v>
      </c>
      <c r="B8" s="4">
        <v>9</v>
      </c>
      <c r="C8" s="4">
        <v>1</v>
      </c>
    </row>
    <row r="9" spans="1:3" x14ac:dyDescent="0.3">
      <c r="A9" s="4">
        <v>108</v>
      </c>
      <c r="B9" s="4">
        <v>8.5</v>
      </c>
      <c r="C9" s="4">
        <v>0.5</v>
      </c>
    </row>
    <row r="10" spans="1:3" x14ac:dyDescent="0.3">
      <c r="A10" s="4">
        <v>109</v>
      </c>
      <c r="B10" s="4">
        <v>9</v>
      </c>
      <c r="C10" s="4">
        <v>1</v>
      </c>
    </row>
    <row r="11" spans="1:3" x14ac:dyDescent="0.3">
      <c r="A11" s="4">
        <v>110</v>
      </c>
      <c r="B11" s="4">
        <v>9</v>
      </c>
      <c r="C11" s="4">
        <v>1</v>
      </c>
    </row>
    <row r="12" spans="1:3" x14ac:dyDescent="0.3">
      <c r="A12" s="4">
        <v>111</v>
      </c>
      <c r="B12" s="4">
        <v>8.6999999999999993</v>
      </c>
      <c r="C12" s="4">
        <v>0.7</v>
      </c>
    </row>
    <row r="13" spans="1:3" x14ac:dyDescent="0.3">
      <c r="A13" s="4">
        <v>112</v>
      </c>
      <c r="B13" s="4">
        <v>9</v>
      </c>
      <c r="C13" s="4">
        <v>1</v>
      </c>
    </row>
    <row r="14" spans="1:3" x14ac:dyDescent="0.3">
      <c r="A14" s="4">
        <v>113</v>
      </c>
      <c r="B14" s="4">
        <v>9</v>
      </c>
      <c r="C14" s="4">
        <v>1</v>
      </c>
    </row>
    <row r="15" spans="1:3" x14ac:dyDescent="0.3">
      <c r="A15" s="4">
        <v>114</v>
      </c>
      <c r="B15" s="4">
        <v>9</v>
      </c>
      <c r="C15" s="4">
        <v>1</v>
      </c>
    </row>
    <row r="16" spans="1:3" x14ac:dyDescent="0.3">
      <c r="A16" s="4">
        <v>115</v>
      </c>
      <c r="B16" s="4">
        <v>9</v>
      </c>
      <c r="C16" s="4">
        <v>1</v>
      </c>
    </row>
    <row r="17" spans="1:3" x14ac:dyDescent="0.3">
      <c r="A17" s="4">
        <v>116</v>
      </c>
      <c r="B17" s="4">
        <v>8.9</v>
      </c>
      <c r="C17" s="4">
        <v>0.9</v>
      </c>
    </row>
    <row r="18" spans="1:3" x14ac:dyDescent="0.3">
      <c r="A18" s="4">
        <v>117</v>
      </c>
      <c r="B18" s="4">
        <v>8.6</v>
      </c>
      <c r="C18" s="4">
        <v>0.6</v>
      </c>
    </row>
    <row r="19" spans="1:3" x14ac:dyDescent="0.3">
      <c r="A19" s="4">
        <v>118</v>
      </c>
      <c r="B19" s="4">
        <v>9</v>
      </c>
      <c r="C19" s="4">
        <v>1</v>
      </c>
    </row>
    <row r="20" spans="1:3" x14ac:dyDescent="0.3">
      <c r="A20" s="4">
        <v>119</v>
      </c>
      <c r="B20" s="4">
        <v>9</v>
      </c>
      <c r="C20" s="4">
        <v>1</v>
      </c>
    </row>
    <row r="21" spans="1:3" x14ac:dyDescent="0.3">
      <c r="A21" s="4">
        <v>120</v>
      </c>
      <c r="B21" s="4">
        <v>9</v>
      </c>
      <c r="C21" s="4">
        <v>1</v>
      </c>
    </row>
    <row r="22" spans="1:3" x14ac:dyDescent="0.3">
      <c r="A22" s="4">
        <v>121</v>
      </c>
      <c r="B22" s="4">
        <v>9</v>
      </c>
      <c r="C22" s="4">
        <v>1</v>
      </c>
    </row>
    <row r="23" spans="1:3" x14ac:dyDescent="0.3">
      <c r="A23" s="4">
        <v>122</v>
      </c>
      <c r="B23" s="4">
        <v>9</v>
      </c>
      <c r="C23" s="4">
        <v>1</v>
      </c>
    </row>
    <row r="24" spans="1:3" x14ac:dyDescent="0.3">
      <c r="A24" s="4">
        <v>123</v>
      </c>
      <c r="B24" s="4">
        <v>9</v>
      </c>
      <c r="C24" s="4">
        <v>1</v>
      </c>
    </row>
    <row r="25" spans="1:3" x14ac:dyDescent="0.3">
      <c r="A25" s="4">
        <v>124</v>
      </c>
      <c r="B25" s="4">
        <v>8.4</v>
      </c>
      <c r="C25" s="4">
        <v>0.4</v>
      </c>
    </row>
    <row r="26" spans="1:3" x14ac:dyDescent="0.3">
      <c r="A26" s="4">
        <v>125</v>
      </c>
      <c r="B26" s="4">
        <v>9</v>
      </c>
      <c r="C26" s="4">
        <v>1</v>
      </c>
    </row>
    <row r="27" spans="1:3" x14ac:dyDescent="0.3">
      <c r="A27" s="4">
        <v>126</v>
      </c>
      <c r="B27" s="4">
        <v>9</v>
      </c>
      <c r="C27" s="4">
        <v>1</v>
      </c>
    </row>
    <row r="28" spans="1:3" x14ac:dyDescent="0.3">
      <c r="A28" s="4">
        <v>127</v>
      </c>
      <c r="B28" s="4">
        <v>9</v>
      </c>
      <c r="C28" s="4">
        <v>1</v>
      </c>
    </row>
    <row r="29" spans="1:3" x14ac:dyDescent="0.3">
      <c r="A29" s="4">
        <v>128</v>
      </c>
      <c r="B29" s="4">
        <v>9</v>
      </c>
      <c r="C29" s="4">
        <v>1</v>
      </c>
    </row>
    <row r="30" spans="1:3" x14ac:dyDescent="0.3">
      <c r="A30" s="4">
        <v>129</v>
      </c>
      <c r="B30" s="4">
        <v>9</v>
      </c>
      <c r="C30" s="4">
        <v>1</v>
      </c>
    </row>
    <row r="31" spans="1:3" x14ac:dyDescent="0.3">
      <c r="A31" s="4">
        <v>130</v>
      </c>
      <c r="B31" s="4">
        <v>8.5</v>
      </c>
      <c r="C31" s="4">
        <v>0.5</v>
      </c>
    </row>
    <row r="32" spans="1:3" x14ac:dyDescent="0.3">
      <c r="A32" s="4">
        <v>131</v>
      </c>
      <c r="B32" s="4">
        <v>9</v>
      </c>
      <c r="C32" s="4">
        <v>1</v>
      </c>
    </row>
    <row r="33" spans="1:3" x14ac:dyDescent="0.3">
      <c r="A33" s="4">
        <v>132</v>
      </c>
      <c r="B33" s="4">
        <v>9</v>
      </c>
      <c r="C33" s="4">
        <v>1</v>
      </c>
    </row>
    <row r="34" spans="1:3" x14ac:dyDescent="0.3">
      <c r="A34" s="4">
        <v>133</v>
      </c>
      <c r="B34" s="4">
        <v>9</v>
      </c>
      <c r="C34" s="4">
        <v>1</v>
      </c>
    </row>
    <row r="35" spans="1:3" x14ac:dyDescent="0.3">
      <c r="A35" s="4">
        <v>134</v>
      </c>
      <c r="B35" s="4">
        <v>8.6999999999999993</v>
      </c>
      <c r="C35" s="4">
        <v>0.7</v>
      </c>
    </row>
    <row r="36" spans="1:3" x14ac:dyDescent="0.3">
      <c r="A36" s="4">
        <v>135</v>
      </c>
      <c r="B36" s="4">
        <v>9</v>
      </c>
      <c r="C36" s="4">
        <v>1</v>
      </c>
    </row>
    <row r="37" spans="1:3" x14ac:dyDescent="0.3">
      <c r="A37" s="4">
        <v>136</v>
      </c>
      <c r="B37" s="4">
        <v>9</v>
      </c>
      <c r="C37" s="4">
        <v>1</v>
      </c>
    </row>
    <row r="38" spans="1:3" x14ac:dyDescent="0.3">
      <c r="A38" s="4">
        <v>137</v>
      </c>
      <c r="B38" s="4">
        <v>9</v>
      </c>
      <c r="C38" s="4">
        <v>1</v>
      </c>
    </row>
    <row r="39" spans="1:3" x14ac:dyDescent="0.3">
      <c r="A39" s="4">
        <v>138</v>
      </c>
      <c r="B39" s="4">
        <v>9</v>
      </c>
      <c r="C39" s="4">
        <v>1</v>
      </c>
    </row>
    <row r="40" spans="1:3" x14ac:dyDescent="0.3">
      <c r="A40" s="4">
        <v>139</v>
      </c>
      <c r="B40" s="4">
        <v>9</v>
      </c>
      <c r="C40" s="4">
        <v>1</v>
      </c>
    </row>
    <row r="41" spans="1:3" x14ac:dyDescent="0.3">
      <c r="A41" s="4">
        <v>140</v>
      </c>
      <c r="B41" s="4">
        <v>9</v>
      </c>
      <c r="C41" s="4">
        <v>1</v>
      </c>
    </row>
    <row r="42" spans="1:3" x14ac:dyDescent="0.3">
      <c r="A42" s="4">
        <v>141</v>
      </c>
      <c r="B42" s="4">
        <v>9</v>
      </c>
      <c r="C42" s="4">
        <v>1</v>
      </c>
    </row>
    <row r="43" spans="1:3" x14ac:dyDescent="0.3">
      <c r="A43" s="4">
        <v>142</v>
      </c>
      <c r="B43" s="4">
        <v>8.6</v>
      </c>
      <c r="C43" s="4">
        <v>0.6</v>
      </c>
    </row>
    <row r="44" spans="1:3" x14ac:dyDescent="0.3">
      <c r="A44" s="4">
        <v>143</v>
      </c>
      <c r="B44" s="4">
        <v>9</v>
      </c>
      <c r="C44" s="4">
        <v>1</v>
      </c>
    </row>
    <row r="45" spans="1:3" x14ac:dyDescent="0.3">
      <c r="A45" s="4">
        <v>144</v>
      </c>
      <c r="B45" s="4">
        <v>9</v>
      </c>
      <c r="C45" s="4">
        <v>1</v>
      </c>
    </row>
    <row r="46" spans="1:3" x14ac:dyDescent="0.3">
      <c r="A46" s="4">
        <v>145</v>
      </c>
      <c r="B46" s="4">
        <v>8.5</v>
      </c>
      <c r="C46" s="4">
        <v>0.5</v>
      </c>
    </row>
    <row r="47" spans="1:3" x14ac:dyDescent="0.3">
      <c r="A47" s="4">
        <v>146</v>
      </c>
      <c r="B47" s="4">
        <v>9</v>
      </c>
      <c r="C47" s="4">
        <v>1</v>
      </c>
    </row>
    <row r="48" spans="1:3" x14ac:dyDescent="0.3">
      <c r="A48" s="4">
        <v>147</v>
      </c>
      <c r="B48" s="4">
        <v>9</v>
      </c>
      <c r="C48" s="4">
        <v>1</v>
      </c>
    </row>
    <row r="49" spans="1:3" x14ac:dyDescent="0.3">
      <c r="A49" s="4">
        <v>148</v>
      </c>
      <c r="B49" s="4">
        <v>9</v>
      </c>
      <c r="C49" s="4">
        <v>1</v>
      </c>
    </row>
    <row r="50" spans="1:3" x14ac:dyDescent="0.3">
      <c r="A50" s="4">
        <v>149</v>
      </c>
      <c r="B50" s="4">
        <v>9</v>
      </c>
      <c r="C50" s="4">
        <v>1</v>
      </c>
    </row>
    <row r="51" spans="1:3" x14ac:dyDescent="0.3">
      <c r="A51" s="4">
        <v>150</v>
      </c>
      <c r="B51" s="4">
        <v>9</v>
      </c>
      <c r="C51" s="4">
        <v>1</v>
      </c>
    </row>
  </sheetData>
  <sheetProtection sheet="1" objects="1" scenarios="1"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BF43C-6EB7-47B7-9499-8D2DC113E6FA}">
  <sheetPr>
    <tabColor theme="1" tint="0.499984740745262"/>
  </sheetPr>
  <dimension ref="A1:B51"/>
  <sheetViews>
    <sheetView topLeftCell="A25" workbookViewId="0">
      <selection activeCell="I22" sqref="I22"/>
    </sheetView>
  </sheetViews>
  <sheetFormatPr defaultRowHeight="14.4" x14ac:dyDescent="0.3"/>
  <cols>
    <col min="2" max="2" width="13.6640625" customWidth="1"/>
  </cols>
  <sheetData>
    <row r="1" spans="1:2" x14ac:dyDescent="0.3">
      <c r="A1" s="3" t="s">
        <v>0</v>
      </c>
      <c r="B1" s="3" t="s">
        <v>5</v>
      </c>
    </row>
    <row r="2" spans="1:2" x14ac:dyDescent="0.3">
      <c r="A2" s="4">
        <v>101</v>
      </c>
      <c r="B2" s="4" t="s">
        <v>6</v>
      </c>
    </row>
    <row r="3" spans="1:2" x14ac:dyDescent="0.3">
      <c r="A3" s="4">
        <v>102</v>
      </c>
      <c r="B3" s="4" t="s">
        <v>6</v>
      </c>
    </row>
    <row r="4" spans="1:2" x14ac:dyDescent="0.3">
      <c r="A4" s="4">
        <v>103</v>
      </c>
      <c r="B4" s="4" t="s">
        <v>6</v>
      </c>
    </row>
    <row r="5" spans="1:2" x14ac:dyDescent="0.3">
      <c r="A5" s="4">
        <v>104</v>
      </c>
      <c r="B5" s="4" t="s">
        <v>7</v>
      </c>
    </row>
    <row r="6" spans="1:2" x14ac:dyDescent="0.3">
      <c r="A6" s="4">
        <v>105</v>
      </c>
      <c r="B6" s="4" t="s">
        <v>6</v>
      </c>
    </row>
    <row r="7" spans="1:2" x14ac:dyDescent="0.3">
      <c r="A7" s="4">
        <v>106</v>
      </c>
      <c r="B7" s="4" t="s">
        <v>6</v>
      </c>
    </row>
    <row r="8" spans="1:2" x14ac:dyDescent="0.3">
      <c r="A8" s="4">
        <v>107</v>
      </c>
      <c r="B8" s="4" t="s">
        <v>6</v>
      </c>
    </row>
    <row r="9" spans="1:2" x14ac:dyDescent="0.3">
      <c r="A9" s="4">
        <v>108</v>
      </c>
      <c r="B9" s="4" t="s">
        <v>8</v>
      </c>
    </row>
    <row r="10" spans="1:2" x14ac:dyDescent="0.3">
      <c r="A10" s="4">
        <v>109</v>
      </c>
      <c r="B10" s="4" t="s">
        <v>6</v>
      </c>
    </row>
    <row r="11" spans="1:2" x14ac:dyDescent="0.3">
      <c r="A11" s="4">
        <v>110</v>
      </c>
      <c r="B11" s="4" t="s">
        <v>6</v>
      </c>
    </row>
    <row r="12" spans="1:2" x14ac:dyDescent="0.3">
      <c r="A12" s="4">
        <v>111</v>
      </c>
      <c r="B12" s="4" t="s">
        <v>6</v>
      </c>
    </row>
    <row r="13" spans="1:2" x14ac:dyDescent="0.3">
      <c r="A13" s="4">
        <v>112</v>
      </c>
      <c r="B13" s="4" t="s">
        <v>6</v>
      </c>
    </row>
    <row r="14" spans="1:2" x14ac:dyDescent="0.3">
      <c r="A14" s="4">
        <v>113</v>
      </c>
      <c r="B14" s="4" t="s">
        <v>6</v>
      </c>
    </row>
    <row r="15" spans="1:2" x14ac:dyDescent="0.3">
      <c r="A15" s="4">
        <v>114</v>
      </c>
      <c r="B15" s="4" t="s">
        <v>6</v>
      </c>
    </row>
    <row r="16" spans="1:2" x14ac:dyDescent="0.3">
      <c r="A16" s="4">
        <v>115</v>
      </c>
      <c r="B16" s="4" t="s">
        <v>9</v>
      </c>
    </row>
    <row r="17" spans="1:2" x14ac:dyDescent="0.3">
      <c r="A17" s="4">
        <v>116</v>
      </c>
      <c r="B17" s="4" t="s">
        <v>6</v>
      </c>
    </row>
    <row r="18" spans="1:2" x14ac:dyDescent="0.3">
      <c r="A18" s="4">
        <v>117</v>
      </c>
      <c r="B18" s="4" t="s">
        <v>6</v>
      </c>
    </row>
    <row r="19" spans="1:2" x14ac:dyDescent="0.3">
      <c r="A19" s="4">
        <v>118</v>
      </c>
      <c r="B19" s="4" t="s">
        <v>6</v>
      </c>
    </row>
    <row r="20" spans="1:2" x14ac:dyDescent="0.3">
      <c r="A20" s="4">
        <v>119</v>
      </c>
      <c r="B20" s="4" t="s">
        <v>6</v>
      </c>
    </row>
    <row r="21" spans="1:2" x14ac:dyDescent="0.3">
      <c r="A21" s="4">
        <v>120</v>
      </c>
      <c r="B21" s="4" t="s">
        <v>6</v>
      </c>
    </row>
    <row r="22" spans="1:2" x14ac:dyDescent="0.3">
      <c r="A22" s="4">
        <v>121</v>
      </c>
      <c r="B22" s="4" t="s">
        <v>6</v>
      </c>
    </row>
    <row r="23" spans="1:2" x14ac:dyDescent="0.3">
      <c r="A23" s="4">
        <v>122</v>
      </c>
      <c r="B23" s="4" t="s">
        <v>6</v>
      </c>
    </row>
    <row r="24" spans="1:2" x14ac:dyDescent="0.3">
      <c r="A24" s="4">
        <v>123</v>
      </c>
      <c r="B24" s="4" t="s">
        <v>6</v>
      </c>
    </row>
    <row r="25" spans="1:2" x14ac:dyDescent="0.3">
      <c r="A25" s="4">
        <v>124</v>
      </c>
      <c r="B25" s="4" t="s">
        <v>8</v>
      </c>
    </row>
    <row r="26" spans="1:2" x14ac:dyDescent="0.3">
      <c r="A26" s="4">
        <v>125</v>
      </c>
      <c r="B26" s="4" t="s">
        <v>6</v>
      </c>
    </row>
    <row r="27" spans="1:2" x14ac:dyDescent="0.3">
      <c r="A27" s="4">
        <v>126</v>
      </c>
      <c r="B27" s="4" t="s">
        <v>6</v>
      </c>
    </row>
    <row r="28" spans="1:2" x14ac:dyDescent="0.3">
      <c r="A28" s="4">
        <v>127</v>
      </c>
      <c r="B28" s="4" t="s">
        <v>6</v>
      </c>
    </row>
    <row r="29" spans="1:2" x14ac:dyDescent="0.3">
      <c r="A29" s="4">
        <v>128</v>
      </c>
      <c r="B29" s="4" t="s">
        <v>6</v>
      </c>
    </row>
    <row r="30" spans="1:2" x14ac:dyDescent="0.3">
      <c r="A30" s="4">
        <v>129</v>
      </c>
      <c r="B30" s="4" t="s">
        <v>6</v>
      </c>
    </row>
    <row r="31" spans="1:2" x14ac:dyDescent="0.3">
      <c r="A31" s="4">
        <v>130</v>
      </c>
      <c r="B31" s="4" t="s">
        <v>6</v>
      </c>
    </row>
    <row r="32" spans="1:2" x14ac:dyDescent="0.3">
      <c r="A32" s="4">
        <v>131</v>
      </c>
      <c r="B32" s="4" t="s">
        <v>6</v>
      </c>
    </row>
    <row r="33" spans="1:2" x14ac:dyDescent="0.3">
      <c r="A33" s="4">
        <v>132</v>
      </c>
      <c r="B33" s="4" t="s">
        <v>6</v>
      </c>
    </row>
    <row r="34" spans="1:2" x14ac:dyDescent="0.3">
      <c r="A34" s="4">
        <v>133</v>
      </c>
      <c r="B34" s="4" t="s">
        <v>6</v>
      </c>
    </row>
    <row r="35" spans="1:2" x14ac:dyDescent="0.3">
      <c r="A35" s="4">
        <v>134</v>
      </c>
      <c r="B35" s="4" t="s">
        <v>6</v>
      </c>
    </row>
    <row r="36" spans="1:2" x14ac:dyDescent="0.3">
      <c r="A36" s="4">
        <v>135</v>
      </c>
      <c r="B36" s="4" t="s">
        <v>6</v>
      </c>
    </row>
    <row r="37" spans="1:2" x14ac:dyDescent="0.3">
      <c r="A37" s="4">
        <v>136</v>
      </c>
      <c r="B37" s="4" t="s">
        <v>6</v>
      </c>
    </row>
    <row r="38" spans="1:2" x14ac:dyDescent="0.3">
      <c r="A38" s="4">
        <v>137</v>
      </c>
      <c r="B38" s="4" t="s">
        <v>6</v>
      </c>
    </row>
    <row r="39" spans="1:2" x14ac:dyDescent="0.3">
      <c r="A39" s="4">
        <v>138</v>
      </c>
      <c r="B39" s="4" t="s">
        <v>6</v>
      </c>
    </row>
    <row r="40" spans="1:2" x14ac:dyDescent="0.3">
      <c r="A40" s="4">
        <v>139</v>
      </c>
      <c r="B40" s="4" t="s">
        <v>6</v>
      </c>
    </row>
    <row r="41" spans="1:2" x14ac:dyDescent="0.3">
      <c r="A41" s="4">
        <v>140</v>
      </c>
      <c r="B41" s="4" t="s">
        <v>6</v>
      </c>
    </row>
    <row r="42" spans="1:2" x14ac:dyDescent="0.3">
      <c r="A42" s="4">
        <v>141</v>
      </c>
      <c r="B42" s="4" t="s">
        <v>6</v>
      </c>
    </row>
    <row r="43" spans="1:2" x14ac:dyDescent="0.3">
      <c r="A43" s="4">
        <v>142</v>
      </c>
      <c r="B43" s="4" t="s">
        <v>6</v>
      </c>
    </row>
    <row r="44" spans="1:2" x14ac:dyDescent="0.3">
      <c r="A44" s="4">
        <v>143</v>
      </c>
      <c r="B44" s="4" t="s">
        <v>6</v>
      </c>
    </row>
    <row r="45" spans="1:2" x14ac:dyDescent="0.3">
      <c r="A45" s="4">
        <v>144</v>
      </c>
      <c r="B45" s="4" t="s">
        <v>6</v>
      </c>
    </row>
    <row r="46" spans="1:2" x14ac:dyDescent="0.3">
      <c r="A46" s="4">
        <v>145</v>
      </c>
      <c r="B46" s="4" t="s">
        <v>8</v>
      </c>
    </row>
    <row r="47" spans="1:2" x14ac:dyDescent="0.3">
      <c r="A47" s="4">
        <v>146</v>
      </c>
      <c r="B47" s="4" t="s">
        <v>6</v>
      </c>
    </row>
    <row r="48" spans="1:2" x14ac:dyDescent="0.3">
      <c r="A48" s="4">
        <v>147</v>
      </c>
      <c r="B48" s="4" t="s">
        <v>6</v>
      </c>
    </row>
    <row r="49" spans="1:2" x14ac:dyDescent="0.3">
      <c r="A49" s="4">
        <v>148</v>
      </c>
      <c r="B49" s="4" t="s">
        <v>6</v>
      </c>
    </row>
    <row r="50" spans="1:2" x14ac:dyDescent="0.3">
      <c r="A50" s="4">
        <v>149</v>
      </c>
      <c r="B50" s="4" t="s">
        <v>6</v>
      </c>
    </row>
    <row r="51" spans="1:2" x14ac:dyDescent="0.3">
      <c r="A51" s="4">
        <v>150</v>
      </c>
      <c r="B51" s="4" t="s">
        <v>6</v>
      </c>
    </row>
  </sheetData>
  <sheetProtection sheet="1" objects="1" scenarios="1"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1887-6A44-41D4-AD66-2027377B3261}">
  <sheetPr>
    <tabColor theme="1" tint="0.499984740745262"/>
  </sheetPr>
  <dimension ref="A1:B51"/>
  <sheetViews>
    <sheetView workbookViewId="0">
      <selection activeCell="I22" sqref="I22"/>
    </sheetView>
  </sheetViews>
  <sheetFormatPr defaultRowHeight="14.4" x14ac:dyDescent="0.3"/>
  <cols>
    <col min="1" max="1" width="10.88671875" customWidth="1"/>
    <col min="2" max="2" width="18.5546875" customWidth="1"/>
  </cols>
  <sheetData>
    <row r="1" spans="1:2" x14ac:dyDescent="0.3">
      <c r="A1" s="3" t="s">
        <v>75</v>
      </c>
      <c r="B1" s="3" t="s">
        <v>1</v>
      </c>
    </row>
    <row r="2" spans="1:2" x14ac:dyDescent="0.3">
      <c r="A2" s="4">
        <v>101</v>
      </c>
      <c r="B2" s="4" t="s">
        <v>2</v>
      </c>
    </row>
    <row r="3" spans="1:2" x14ac:dyDescent="0.3">
      <c r="A3" s="4">
        <v>102</v>
      </c>
      <c r="B3" s="4" t="s">
        <v>3</v>
      </c>
    </row>
    <row r="4" spans="1:2" x14ac:dyDescent="0.3">
      <c r="A4" s="4">
        <v>103</v>
      </c>
      <c r="B4" s="4" t="s">
        <v>2</v>
      </c>
    </row>
    <row r="5" spans="1:2" x14ac:dyDescent="0.3">
      <c r="A5" s="4">
        <v>104</v>
      </c>
      <c r="B5" s="4" t="s">
        <v>4</v>
      </c>
    </row>
    <row r="6" spans="1:2" x14ac:dyDescent="0.3">
      <c r="A6" s="4">
        <v>105</v>
      </c>
      <c r="B6" s="4" t="s">
        <v>2</v>
      </c>
    </row>
    <row r="7" spans="1:2" x14ac:dyDescent="0.3">
      <c r="A7" s="4">
        <v>106</v>
      </c>
      <c r="B7" s="4" t="s">
        <v>3</v>
      </c>
    </row>
    <row r="8" spans="1:2" x14ac:dyDescent="0.3">
      <c r="A8" s="4">
        <v>107</v>
      </c>
      <c r="B8" s="4" t="s">
        <v>2</v>
      </c>
    </row>
    <row r="9" spans="1:2" x14ac:dyDescent="0.3">
      <c r="A9" s="4">
        <v>108</v>
      </c>
      <c r="B9" s="4" t="s">
        <v>3</v>
      </c>
    </row>
    <row r="10" spans="1:2" x14ac:dyDescent="0.3">
      <c r="A10" s="4">
        <v>109</v>
      </c>
      <c r="B10" s="4" t="s">
        <v>2</v>
      </c>
    </row>
    <row r="11" spans="1:2" x14ac:dyDescent="0.3">
      <c r="A11" s="4">
        <v>110</v>
      </c>
      <c r="B11" s="4" t="s">
        <v>2</v>
      </c>
    </row>
    <row r="12" spans="1:2" x14ac:dyDescent="0.3">
      <c r="A12" s="4">
        <v>111</v>
      </c>
      <c r="B12" s="4" t="s">
        <v>4</v>
      </c>
    </row>
    <row r="13" spans="1:2" x14ac:dyDescent="0.3">
      <c r="A13" s="4">
        <v>112</v>
      </c>
      <c r="B13" s="4" t="s">
        <v>2</v>
      </c>
    </row>
    <row r="14" spans="1:2" x14ac:dyDescent="0.3">
      <c r="A14" s="4">
        <v>113</v>
      </c>
      <c r="B14" s="4" t="s">
        <v>2</v>
      </c>
    </row>
    <row r="15" spans="1:2" x14ac:dyDescent="0.3">
      <c r="A15" s="4">
        <v>114</v>
      </c>
      <c r="B15" s="4" t="s">
        <v>3</v>
      </c>
    </row>
    <row r="16" spans="1:2" x14ac:dyDescent="0.3">
      <c r="A16" s="4">
        <v>115</v>
      </c>
      <c r="B16" s="4" t="s">
        <v>2</v>
      </c>
    </row>
    <row r="17" spans="1:2" x14ac:dyDescent="0.3">
      <c r="A17" s="4">
        <v>116</v>
      </c>
      <c r="B17" s="4" t="s">
        <v>2</v>
      </c>
    </row>
    <row r="18" spans="1:2" x14ac:dyDescent="0.3">
      <c r="A18" s="4">
        <v>117</v>
      </c>
      <c r="B18" s="4" t="s">
        <v>3</v>
      </c>
    </row>
    <row r="19" spans="1:2" x14ac:dyDescent="0.3">
      <c r="A19" s="4">
        <v>118</v>
      </c>
      <c r="B19" s="4" t="s">
        <v>2</v>
      </c>
    </row>
    <row r="20" spans="1:2" x14ac:dyDescent="0.3">
      <c r="A20" s="4">
        <v>119</v>
      </c>
      <c r="B20" s="4" t="s">
        <v>2</v>
      </c>
    </row>
    <row r="21" spans="1:2" x14ac:dyDescent="0.3">
      <c r="A21" s="4">
        <v>120</v>
      </c>
      <c r="B21" s="4" t="s">
        <v>2</v>
      </c>
    </row>
    <row r="22" spans="1:2" x14ac:dyDescent="0.3">
      <c r="A22" s="4">
        <v>121</v>
      </c>
      <c r="B22" s="4" t="s">
        <v>4</v>
      </c>
    </row>
    <row r="23" spans="1:2" x14ac:dyDescent="0.3">
      <c r="A23" s="4">
        <v>122</v>
      </c>
      <c r="B23" s="4" t="s">
        <v>2</v>
      </c>
    </row>
    <row r="24" spans="1:2" x14ac:dyDescent="0.3">
      <c r="A24" s="4">
        <v>123</v>
      </c>
      <c r="B24" s="4" t="s">
        <v>2</v>
      </c>
    </row>
    <row r="25" spans="1:2" x14ac:dyDescent="0.3">
      <c r="A25" s="4">
        <v>124</v>
      </c>
      <c r="B25" s="4" t="s">
        <v>3</v>
      </c>
    </row>
    <row r="26" spans="1:2" x14ac:dyDescent="0.3">
      <c r="A26" s="4">
        <v>125</v>
      </c>
      <c r="B26" s="4" t="s">
        <v>2</v>
      </c>
    </row>
    <row r="27" spans="1:2" x14ac:dyDescent="0.3">
      <c r="A27" s="4">
        <v>126</v>
      </c>
      <c r="B27" s="4" t="s">
        <v>2</v>
      </c>
    </row>
    <row r="28" spans="1:2" x14ac:dyDescent="0.3">
      <c r="A28" s="4">
        <v>127</v>
      </c>
      <c r="B28" s="4" t="s">
        <v>4</v>
      </c>
    </row>
    <row r="29" spans="1:2" x14ac:dyDescent="0.3">
      <c r="A29" s="4">
        <v>128</v>
      </c>
      <c r="B29" s="4" t="s">
        <v>2</v>
      </c>
    </row>
    <row r="30" spans="1:2" x14ac:dyDescent="0.3">
      <c r="A30" s="4">
        <v>129</v>
      </c>
      <c r="B30" s="4" t="s">
        <v>2</v>
      </c>
    </row>
    <row r="31" spans="1:2" x14ac:dyDescent="0.3">
      <c r="A31" s="4">
        <v>130</v>
      </c>
      <c r="B31" s="4" t="s">
        <v>3</v>
      </c>
    </row>
    <row r="32" spans="1:2" x14ac:dyDescent="0.3">
      <c r="A32" s="4">
        <v>131</v>
      </c>
      <c r="B32" s="4" t="s">
        <v>2</v>
      </c>
    </row>
    <row r="33" spans="1:2" x14ac:dyDescent="0.3">
      <c r="A33" s="4">
        <v>132</v>
      </c>
      <c r="B33" s="4" t="s">
        <v>2</v>
      </c>
    </row>
    <row r="34" spans="1:2" x14ac:dyDescent="0.3">
      <c r="A34" s="4">
        <v>133</v>
      </c>
      <c r="B34" s="4" t="s">
        <v>4</v>
      </c>
    </row>
    <row r="35" spans="1:2" x14ac:dyDescent="0.3">
      <c r="A35" s="4">
        <v>134</v>
      </c>
      <c r="B35" s="4" t="s">
        <v>3</v>
      </c>
    </row>
    <row r="36" spans="1:2" x14ac:dyDescent="0.3">
      <c r="A36" s="4">
        <v>135</v>
      </c>
      <c r="B36" s="4" t="s">
        <v>2</v>
      </c>
    </row>
    <row r="37" spans="1:2" x14ac:dyDescent="0.3">
      <c r="A37" s="4">
        <v>136</v>
      </c>
      <c r="B37" s="4" t="s">
        <v>2</v>
      </c>
    </row>
    <row r="38" spans="1:2" x14ac:dyDescent="0.3">
      <c r="A38" s="4">
        <v>137</v>
      </c>
      <c r="B38" s="4" t="s">
        <v>2</v>
      </c>
    </row>
    <row r="39" spans="1:2" x14ac:dyDescent="0.3">
      <c r="A39" s="4">
        <v>138</v>
      </c>
      <c r="B39" s="4" t="s">
        <v>4</v>
      </c>
    </row>
    <row r="40" spans="1:2" x14ac:dyDescent="0.3">
      <c r="A40" s="4">
        <v>139</v>
      </c>
      <c r="B40" s="4" t="s">
        <v>2</v>
      </c>
    </row>
    <row r="41" spans="1:2" x14ac:dyDescent="0.3">
      <c r="A41" s="4">
        <v>140</v>
      </c>
      <c r="B41" s="4" t="s">
        <v>2</v>
      </c>
    </row>
    <row r="42" spans="1:2" x14ac:dyDescent="0.3">
      <c r="A42" s="4">
        <v>141</v>
      </c>
      <c r="B42" s="4" t="s">
        <v>2</v>
      </c>
    </row>
    <row r="43" spans="1:2" x14ac:dyDescent="0.3">
      <c r="A43" s="4">
        <v>142</v>
      </c>
      <c r="B43" s="4" t="s">
        <v>3</v>
      </c>
    </row>
    <row r="44" spans="1:2" x14ac:dyDescent="0.3">
      <c r="A44" s="4">
        <v>143</v>
      </c>
      <c r="B44" s="4" t="s">
        <v>2</v>
      </c>
    </row>
    <row r="45" spans="1:2" x14ac:dyDescent="0.3">
      <c r="A45" s="4">
        <v>144</v>
      </c>
      <c r="B45" s="4" t="s">
        <v>2</v>
      </c>
    </row>
    <row r="46" spans="1:2" x14ac:dyDescent="0.3">
      <c r="A46" s="4">
        <v>145</v>
      </c>
      <c r="B46" s="4" t="s">
        <v>3</v>
      </c>
    </row>
    <row r="47" spans="1:2" x14ac:dyDescent="0.3">
      <c r="A47" s="4">
        <v>146</v>
      </c>
      <c r="B47" s="4" t="s">
        <v>2</v>
      </c>
    </row>
    <row r="48" spans="1:2" x14ac:dyDescent="0.3">
      <c r="A48" s="4">
        <v>147</v>
      </c>
      <c r="B48" s="4" t="s">
        <v>2</v>
      </c>
    </row>
    <row r="49" spans="1:2" x14ac:dyDescent="0.3">
      <c r="A49" s="4">
        <v>148</v>
      </c>
      <c r="B49" s="4" t="s">
        <v>4</v>
      </c>
    </row>
    <row r="50" spans="1:2" x14ac:dyDescent="0.3">
      <c r="A50" s="4">
        <v>149</v>
      </c>
      <c r="B50" s="4" t="s">
        <v>2</v>
      </c>
    </row>
    <row r="51" spans="1:2" x14ac:dyDescent="0.3">
      <c r="A51" s="4">
        <v>150</v>
      </c>
      <c r="B51" s="4" t="s">
        <v>2</v>
      </c>
    </row>
  </sheetData>
  <sheetProtection sheet="1" objects="1" scenarios="1"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F8E88-3F9A-41BD-B62B-1A19B640E6A1}">
  <sheetPr>
    <tabColor theme="1" tint="0.499984740745262"/>
  </sheetPr>
  <dimension ref="A1:C51"/>
  <sheetViews>
    <sheetView workbookViewId="0">
      <selection activeCell="I28" sqref="I28"/>
    </sheetView>
  </sheetViews>
  <sheetFormatPr defaultRowHeight="14.4" x14ac:dyDescent="0.3"/>
  <cols>
    <col min="1" max="1" width="10.6640625" customWidth="1"/>
    <col min="2" max="2" width="10.44140625" customWidth="1"/>
    <col min="3" max="3" width="11.33203125" customWidth="1"/>
  </cols>
  <sheetData>
    <row r="1" spans="1:3" x14ac:dyDescent="0.3">
      <c r="A1" s="3" t="s">
        <v>0</v>
      </c>
      <c r="B1" s="3" t="s">
        <v>14</v>
      </c>
      <c r="C1" s="3" t="s">
        <v>15</v>
      </c>
    </row>
    <row r="2" spans="1:3" x14ac:dyDescent="0.3">
      <c r="A2" s="4">
        <v>101</v>
      </c>
      <c r="B2" s="4" t="s">
        <v>16</v>
      </c>
      <c r="C2" s="4" t="s">
        <v>17</v>
      </c>
    </row>
    <row r="3" spans="1:3" x14ac:dyDescent="0.3">
      <c r="A3" s="4">
        <v>102</v>
      </c>
      <c r="B3" s="4" t="s">
        <v>18</v>
      </c>
      <c r="C3" s="4" t="s">
        <v>17</v>
      </c>
    </row>
    <row r="4" spans="1:3" x14ac:dyDescent="0.3">
      <c r="A4" s="4">
        <v>103</v>
      </c>
      <c r="B4" s="4" t="s">
        <v>19</v>
      </c>
      <c r="C4" s="4" t="s">
        <v>17</v>
      </c>
    </row>
    <row r="5" spans="1:3" x14ac:dyDescent="0.3">
      <c r="A5" s="4">
        <v>104</v>
      </c>
      <c r="B5" s="4" t="s">
        <v>20</v>
      </c>
      <c r="C5" s="4" t="s">
        <v>17</v>
      </c>
    </row>
    <row r="6" spans="1:3" x14ac:dyDescent="0.3">
      <c r="A6" s="4">
        <v>105</v>
      </c>
      <c r="B6" s="4" t="s">
        <v>21</v>
      </c>
      <c r="C6" s="4" t="s">
        <v>17</v>
      </c>
    </row>
    <row r="7" spans="1:3" x14ac:dyDescent="0.3">
      <c r="A7" s="4">
        <v>106</v>
      </c>
      <c r="B7" s="4" t="s">
        <v>22</v>
      </c>
      <c r="C7" s="4" t="s">
        <v>17</v>
      </c>
    </row>
    <row r="8" spans="1:3" x14ac:dyDescent="0.3">
      <c r="A8" s="4">
        <v>107</v>
      </c>
      <c r="B8" s="4" t="s">
        <v>23</v>
      </c>
      <c r="C8" s="4" t="s">
        <v>17</v>
      </c>
    </row>
    <row r="9" spans="1:3" x14ac:dyDescent="0.3">
      <c r="A9" s="4">
        <v>108</v>
      </c>
      <c r="B9" s="4" t="s">
        <v>24</v>
      </c>
      <c r="C9" s="4" t="s">
        <v>17</v>
      </c>
    </row>
    <row r="10" spans="1:3" x14ac:dyDescent="0.3">
      <c r="A10" s="4">
        <v>109</v>
      </c>
      <c r="B10" s="4" t="s">
        <v>25</v>
      </c>
      <c r="C10" s="4" t="s">
        <v>17</v>
      </c>
    </row>
    <row r="11" spans="1:3" x14ac:dyDescent="0.3">
      <c r="A11" s="4">
        <v>110</v>
      </c>
      <c r="B11" s="4" t="s">
        <v>26</v>
      </c>
      <c r="C11" s="4" t="s">
        <v>17</v>
      </c>
    </row>
    <row r="12" spans="1:3" x14ac:dyDescent="0.3">
      <c r="A12" s="4">
        <v>111</v>
      </c>
      <c r="B12" s="4" t="s">
        <v>27</v>
      </c>
      <c r="C12" s="4" t="s">
        <v>17</v>
      </c>
    </row>
    <row r="13" spans="1:3" x14ac:dyDescent="0.3">
      <c r="A13" s="4">
        <v>112</v>
      </c>
      <c r="B13" s="4" t="s">
        <v>28</v>
      </c>
      <c r="C13" s="4" t="s">
        <v>17</v>
      </c>
    </row>
    <row r="14" spans="1:3" x14ac:dyDescent="0.3">
      <c r="A14" s="4">
        <v>113</v>
      </c>
      <c r="B14" s="4" t="s">
        <v>29</v>
      </c>
      <c r="C14" s="4" t="s">
        <v>30</v>
      </c>
    </row>
    <row r="15" spans="1:3" x14ac:dyDescent="0.3">
      <c r="A15" s="4">
        <v>114</v>
      </c>
      <c r="B15" s="4" t="s">
        <v>31</v>
      </c>
      <c r="C15" s="4" t="s">
        <v>30</v>
      </c>
    </row>
    <row r="16" spans="1:3" x14ac:dyDescent="0.3">
      <c r="A16" s="4">
        <v>115</v>
      </c>
      <c r="B16" s="4" t="s">
        <v>32</v>
      </c>
      <c r="C16" s="4" t="s">
        <v>30</v>
      </c>
    </row>
    <row r="17" spans="1:3" x14ac:dyDescent="0.3">
      <c r="A17" s="4">
        <v>116</v>
      </c>
      <c r="B17" s="4" t="s">
        <v>33</v>
      </c>
      <c r="C17" s="4" t="s">
        <v>30</v>
      </c>
    </row>
    <row r="18" spans="1:3" x14ac:dyDescent="0.3">
      <c r="A18" s="4">
        <v>117</v>
      </c>
      <c r="B18" s="4" t="s">
        <v>34</v>
      </c>
      <c r="C18" s="4" t="s">
        <v>30</v>
      </c>
    </row>
    <row r="19" spans="1:3" x14ac:dyDescent="0.3">
      <c r="A19" s="4">
        <v>118</v>
      </c>
      <c r="B19" s="4" t="s">
        <v>35</v>
      </c>
      <c r="C19" s="4" t="s">
        <v>30</v>
      </c>
    </row>
    <row r="20" spans="1:3" x14ac:dyDescent="0.3">
      <c r="A20" s="4">
        <v>119</v>
      </c>
      <c r="B20" s="4" t="s">
        <v>36</v>
      </c>
      <c r="C20" s="4" t="s">
        <v>30</v>
      </c>
    </row>
    <row r="21" spans="1:3" x14ac:dyDescent="0.3">
      <c r="A21" s="4">
        <v>120</v>
      </c>
      <c r="B21" s="4" t="s">
        <v>37</v>
      </c>
      <c r="C21" s="4" t="s">
        <v>30</v>
      </c>
    </row>
    <row r="22" spans="1:3" x14ac:dyDescent="0.3">
      <c r="A22" s="4">
        <v>121</v>
      </c>
      <c r="B22" s="4" t="s">
        <v>38</v>
      </c>
      <c r="C22" s="4" t="s">
        <v>30</v>
      </c>
    </row>
    <row r="23" spans="1:3" x14ac:dyDescent="0.3">
      <c r="A23" s="4">
        <v>122</v>
      </c>
      <c r="B23" s="4" t="s">
        <v>39</v>
      </c>
      <c r="C23" s="4" t="s">
        <v>30</v>
      </c>
    </row>
    <row r="24" spans="1:3" x14ac:dyDescent="0.3">
      <c r="A24" s="4">
        <v>123</v>
      </c>
      <c r="B24" s="4" t="s">
        <v>40</v>
      </c>
      <c r="C24" s="4" t="s">
        <v>30</v>
      </c>
    </row>
    <row r="25" spans="1:3" x14ac:dyDescent="0.3">
      <c r="A25" s="4">
        <v>124</v>
      </c>
      <c r="B25" s="4" t="s">
        <v>41</v>
      </c>
      <c r="C25" s="4" t="s">
        <v>30</v>
      </c>
    </row>
    <row r="26" spans="1:3" x14ac:dyDescent="0.3">
      <c r="A26" s="4">
        <v>125</v>
      </c>
      <c r="B26" s="4" t="s">
        <v>42</v>
      </c>
      <c r="C26" s="4" t="s">
        <v>43</v>
      </c>
    </row>
    <row r="27" spans="1:3" x14ac:dyDescent="0.3">
      <c r="A27" s="4">
        <v>126</v>
      </c>
      <c r="B27" s="4" t="s">
        <v>44</v>
      </c>
      <c r="C27" s="4" t="s">
        <v>43</v>
      </c>
    </row>
    <row r="28" spans="1:3" x14ac:dyDescent="0.3">
      <c r="A28" s="4">
        <v>127</v>
      </c>
      <c r="B28" s="4" t="s">
        <v>45</v>
      </c>
      <c r="C28" s="4" t="s">
        <v>43</v>
      </c>
    </row>
    <row r="29" spans="1:3" x14ac:dyDescent="0.3">
      <c r="A29" s="4">
        <v>128</v>
      </c>
      <c r="B29" s="4" t="s">
        <v>46</v>
      </c>
      <c r="C29" s="4" t="s">
        <v>43</v>
      </c>
    </row>
    <row r="30" spans="1:3" x14ac:dyDescent="0.3">
      <c r="A30" s="4">
        <v>129</v>
      </c>
      <c r="B30" s="4" t="s">
        <v>47</v>
      </c>
      <c r="C30" s="4" t="s">
        <v>43</v>
      </c>
    </row>
    <row r="31" spans="1:3" x14ac:dyDescent="0.3">
      <c r="A31" s="4">
        <v>130</v>
      </c>
      <c r="B31" s="4" t="s">
        <v>48</v>
      </c>
      <c r="C31" s="4" t="s">
        <v>43</v>
      </c>
    </row>
    <row r="32" spans="1:3" x14ac:dyDescent="0.3">
      <c r="A32" s="4">
        <v>131</v>
      </c>
      <c r="B32" s="4" t="s">
        <v>49</v>
      </c>
      <c r="C32" s="4" t="s">
        <v>43</v>
      </c>
    </row>
    <row r="33" spans="1:3" x14ac:dyDescent="0.3">
      <c r="A33" s="4">
        <v>132</v>
      </c>
      <c r="B33" s="4" t="s">
        <v>50</v>
      </c>
      <c r="C33" s="4" t="s">
        <v>43</v>
      </c>
    </row>
    <row r="34" spans="1:3" x14ac:dyDescent="0.3">
      <c r="A34" s="4">
        <v>133</v>
      </c>
      <c r="B34" s="4" t="s">
        <v>51</v>
      </c>
      <c r="C34" s="4" t="s">
        <v>43</v>
      </c>
    </row>
    <row r="35" spans="1:3" x14ac:dyDescent="0.3">
      <c r="A35" s="4">
        <v>134</v>
      </c>
      <c r="B35" s="4" t="s">
        <v>52</v>
      </c>
      <c r="C35" s="4" t="s">
        <v>43</v>
      </c>
    </row>
    <row r="36" spans="1:3" x14ac:dyDescent="0.3">
      <c r="A36" s="4">
        <v>135</v>
      </c>
      <c r="B36" s="4" t="s">
        <v>53</v>
      </c>
      <c r="C36" s="4" t="s">
        <v>43</v>
      </c>
    </row>
    <row r="37" spans="1:3" x14ac:dyDescent="0.3">
      <c r="A37" s="4">
        <v>136</v>
      </c>
      <c r="B37" s="4" t="s">
        <v>54</v>
      </c>
      <c r="C37" s="4" t="s">
        <v>43</v>
      </c>
    </row>
    <row r="38" spans="1:3" x14ac:dyDescent="0.3">
      <c r="A38" s="4">
        <v>137</v>
      </c>
      <c r="B38" s="4" t="s">
        <v>55</v>
      </c>
      <c r="C38" s="4" t="s">
        <v>56</v>
      </c>
    </row>
    <row r="39" spans="1:3" x14ac:dyDescent="0.3">
      <c r="A39" s="4">
        <v>138</v>
      </c>
      <c r="B39" s="4" t="s">
        <v>57</v>
      </c>
      <c r="C39" s="4" t="s">
        <v>56</v>
      </c>
    </row>
    <row r="40" spans="1:3" x14ac:dyDescent="0.3">
      <c r="A40" s="4">
        <v>139</v>
      </c>
      <c r="B40" s="4" t="s">
        <v>58</v>
      </c>
      <c r="C40" s="4" t="s">
        <v>56</v>
      </c>
    </row>
    <row r="41" spans="1:3" x14ac:dyDescent="0.3">
      <c r="A41" s="4">
        <v>140</v>
      </c>
      <c r="B41" s="4" t="s">
        <v>59</v>
      </c>
      <c r="C41" s="4" t="s">
        <v>56</v>
      </c>
    </row>
    <row r="42" spans="1:3" x14ac:dyDescent="0.3">
      <c r="A42" s="4">
        <v>141</v>
      </c>
      <c r="B42" s="4" t="s">
        <v>60</v>
      </c>
      <c r="C42" s="4" t="s">
        <v>56</v>
      </c>
    </row>
    <row r="43" spans="1:3" x14ac:dyDescent="0.3">
      <c r="A43" s="4">
        <v>142</v>
      </c>
      <c r="B43" s="4" t="s">
        <v>61</v>
      </c>
      <c r="C43" s="4" t="s">
        <v>56</v>
      </c>
    </row>
    <row r="44" spans="1:3" x14ac:dyDescent="0.3">
      <c r="A44" s="4">
        <v>143</v>
      </c>
      <c r="B44" s="4" t="s">
        <v>62</v>
      </c>
      <c r="C44" s="4" t="s">
        <v>56</v>
      </c>
    </row>
    <row r="45" spans="1:3" x14ac:dyDescent="0.3">
      <c r="A45" s="4">
        <v>144</v>
      </c>
      <c r="B45" s="4" t="s">
        <v>63</v>
      </c>
      <c r="C45" s="4" t="s">
        <v>56</v>
      </c>
    </row>
    <row r="46" spans="1:3" x14ac:dyDescent="0.3">
      <c r="A46" s="4">
        <v>145</v>
      </c>
      <c r="B46" s="4" t="s">
        <v>64</v>
      </c>
      <c r="C46" s="4" t="s">
        <v>56</v>
      </c>
    </row>
    <row r="47" spans="1:3" x14ac:dyDescent="0.3">
      <c r="A47" s="4">
        <v>146</v>
      </c>
      <c r="B47" s="4" t="s">
        <v>65</v>
      </c>
      <c r="C47" s="4" t="s">
        <v>56</v>
      </c>
    </row>
    <row r="48" spans="1:3" x14ac:dyDescent="0.3">
      <c r="A48" s="4">
        <v>147</v>
      </c>
      <c r="B48" s="4" t="s">
        <v>66</v>
      </c>
      <c r="C48" s="4" t="s">
        <v>56</v>
      </c>
    </row>
    <row r="49" spans="1:3" x14ac:dyDescent="0.3">
      <c r="A49" s="4">
        <v>148</v>
      </c>
      <c r="B49" s="4" t="s">
        <v>67</v>
      </c>
      <c r="C49" s="4" t="s">
        <v>56</v>
      </c>
    </row>
    <row r="50" spans="1:3" x14ac:dyDescent="0.3">
      <c r="A50" s="4">
        <v>149</v>
      </c>
      <c r="B50" s="4" t="s">
        <v>68</v>
      </c>
      <c r="C50" s="4" t="s">
        <v>56</v>
      </c>
    </row>
    <row r="51" spans="1:3" x14ac:dyDescent="0.3">
      <c r="A51" s="4">
        <v>150</v>
      </c>
      <c r="B51" s="4" t="s">
        <v>69</v>
      </c>
      <c r="C51" s="4" t="s">
        <v>56</v>
      </c>
    </row>
  </sheetData>
  <sheetProtection sheet="1" objects="1" scenarios="1"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MIS Report</vt:lpstr>
      <vt:lpstr>Pivot Table</vt:lpstr>
      <vt:lpstr>Calls Report</vt:lpstr>
      <vt:lpstr>Login Report(WFM)</vt:lpstr>
      <vt:lpstr>Attendence(HR)</vt:lpstr>
      <vt:lpstr>Cutomer Feedback</vt:lpstr>
      <vt:lpstr>Teams 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Naresh Mishra</dc:creator>
  <cp:lastModifiedBy>edwardsamuel9692@outlook.com</cp:lastModifiedBy>
  <dcterms:created xsi:type="dcterms:W3CDTF">2026-04-09T11:44:54Z</dcterms:created>
  <dcterms:modified xsi:type="dcterms:W3CDTF">2026-05-05T10:11:57Z</dcterms:modified>
</cp:coreProperties>
</file>